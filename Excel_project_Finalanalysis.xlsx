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OTI REDDY\Documents\"/>
    </mc:Choice>
  </mc:AlternateContent>
  <xr:revisionPtr revIDLastSave="0" documentId="13_ncr:1_{4B71B49F-F7F1-4B9F-B0BE-F48F260CCDEB}" xr6:coauthVersionLast="47" xr6:coauthVersionMax="47" xr10:uidLastSave="{00000000-0000-0000-0000-000000000000}"/>
  <bookViews>
    <workbookView xWindow="-108" yWindow="-108" windowWidth="23256" windowHeight="12456" xr2:uid="{2BE0C42A-66BF-423D-8926-A550CB2917A1}"/>
  </bookViews>
  <sheets>
    <sheet name="Dashboard" sheetId="7" r:id="rId1"/>
    <sheet name="Raw_Data" sheetId="1" r:id="rId2"/>
    <sheet name="Sales" sheetId="9" r:id="rId3"/>
    <sheet name="State" sheetId="10" r:id="rId4"/>
    <sheet name="Cleaned_Data" sheetId="2" r:id="rId5"/>
    <sheet name="Pivot_Category" sheetId="4" r:id="rId6"/>
    <sheet name="Pivot_City" sheetId="5" r:id="rId7"/>
    <sheet name="Pivot_Date" sheetId="8" r:id="rId8"/>
    <sheet name="Pivot_Customer" sheetId="6" r:id="rId9"/>
    <sheet name="Analysis" sheetId="3" r:id="rId10"/>
  </sheets>
  <definedNames>
    <definedName name="_xlchart.v5.0" hidden="1">State!$D$3</definedName>
    <definedName name="_xlchart.v5.1" hidden="1">State!$D$4:$D$14</definedName>
    <definedName name="_xlchart.v5.2" hidden="1">State!$E$3</definedName>
    <definedName name="_xlchart.v5.3" hidden="1">State!$E$4:$E$14</definedName>
    <definedName name="_xlcn.WorksheetConnection_Cleaned_DataA1T1111" hidden="1">Cleaned_Data!$A$1:$T$111</definedName>
  </definedNames>
  <calcPr calcId="191029"/>
  <pivotCaches>
    <pivotCache cacheId="439" r:id="rId11"/>
    <pivotCache cacheId="442" r:id="rId12"/>
    <pivotCache cacheId="445" r:id="rId13"/>
    <pivotCache cacheId="448" r:id="rId14"/>
    <pivotCache cacheId="451" r:id="rId15"/>
    <pivotCache cacheId="454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Cleaned_Data!$A$1:$T$11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_Date" columnId="Order_Date">
                <x16:calculatedTimeColumn columnName="Order_Date (Month Index)" columnId="Order_Date (Month Index)" contentType="monthsindex" isSelected="1"/>
                <x16:calculatedTimeColumn columnName="Order_Date (Month)" columnId="Order_Date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A5" i="7" l="1"/>
  <c r="V9" i="7"/>
  <c r="S5" i="7"/>
  <c r="V16" i="7"/>
  <c r="V15" i="7"/>
  <c r="V14" i="7"/>
  <c r="V13" i="7"/>
  <c r="V12" i="7"/>
  <c r="V11" i="7"/>
  <c r="V10" i="7"/>
  <c r="V8" i="7"/>
  <c r="V7" i="7"/>
  <c r="C14" i="7"/>
  <c r="C12" i="7"/>
  <c r="C10" i="7"/>
  <c r="C8" i="7"/>
  <c r="X5" i="2"/>
  <c r="X4" i="2"/>
  <c r="X3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2" i="2"/>
  <c r="S16" i="7"/>
  <c r="S15" i="7"/>
  <c r="S14" i="7"/>
  <c r="S13" i="7"/>
  <c r="S12" i="7"/>
  <c r="S11" i="7"/>
  <c r="S10" i="7"/>
  <c r="S9" i="7"/>
  <c r="S8" i="7"/>
  <c r="S7" i="7"/>
  <c r="G5" i="7"/>
  <c r="A3" i="7"/>
  <c r="B6" i="3"/>
  <c r="B5" i="3"/>
  <c r="B4" i="3"/>
  <c r="B3" i="3"/>
  <c r="S3" i="7"/>
  <c r="M3" i="7"/>
  <c r="G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17F68C-EF6E-4B1C-8C08-166FD63964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60A7E70-26F7-42BE-8A26-7FFCE5FC06E4}" name="WorksheetConnection_Cleaned_Data!$A$1:$T$11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leaned_DataA1T1111"/>
        </x15:connection>
      </ext>
    </extLst>
  </connection>
</connections>
</file>

<file path=xl/sharedStrings.xml><?xml version="1.0" encoding="utf-8"?>
<sst xmlns="http://schemas.openxmlformats.org/spreadsheetml/2006/main" count="2819" uniqueCount="365">
  <si>
    <t>Order_ID</t>
  </si>
  <si>
    <t>Order_Date</t>
  </si>
  <si>
    <t>Customer_ID</t>
  </si>
  <si>
    <t>Customer_Name</t>
  </si>
  <si>
    <t>Age</t>
  </si>
  <si>
    <t>Gender</t>
  </si>
  <si>
    <t>City</t>
  </si>
  <si>
    <t>State</t>
  </si>
  <si>
    <t>Customer_Type</t>
  </si>
  <si>
    <t>Product_ID</t>
  </si>
  <si>
    <t>Category</t>
  </si>
  <si>
    <t>Product_Name</t>
  </si>
  <si>
    <t>Quantity</t>
  </si>
  <si>
    <t>Unit_Price</t>
  </si>
  <si>
    <t>Discount</t>
  </si>
  <si>
    <t>Payment_Method</t>
  </si>
  <si>
    <t>Delivery_Status</t>
  </si>
  <si>
    <t>Sales_Amount</t>
  </si>
  <si>
    <t>Cost</t>
  </si>
  <si>
    <t>Profit</t>
  </si>
  <si>
    <t>ORD001</t>
  </si>
  <si>
    <t>C101</t>
  </si>
  <si>
    <t>Rahul</t>
  </si>
  <si>
    <t>Male</t>
  </si>
  <si>
    <t>Hyderabad</t>
  </si>
  <si>
    <t>Telangana</t>
  </si>
  <si>
    <t>New</t>
  </si>
  <si>
    <t>P101</t>
  </si>
  <si>
    <t>Electronics</t>
  </si>
  <si>
    <t>Laptop</t>
  </si>
  <si>
    <t>UPI</t>
  </si>
  <si>
    <t>Delivered</t>
  </si>
  <si>
    <t>ORD002</t>
  </si>
  <si>
    <t>C102</t>
  </si>
  <si>
    <t>Anu</t>
  </si>
  <si>
    <t>Female</t>
  </si>
  <si>
    <t>Vijayawada</t>
  </si>
  <si>
    <t>Andhra Pradesh</t>
  </si>
  <si>
    <t>Returning</t>
  </si>
  <si>
    <t>P102</t>
  </si>
  <si>
    <t>Furniture</t>
  </si>
  <si>
    <t>Chair</t>
  </si>
  <si>
    <t>Card</t>
  </si>
  <si>
    <t>ORD003</t>
  </si>
  <si>
    <t>C103</t>
  </si>
  <si>
    <t>Kiran</t>
  </si>
  <si>
    <t>Chennai</t>
  </si>
  <si>
    <t>Tamil Nadu</t>
  </si>
  <si>
    <t>P103</t>
  </si>
  <si>
    <t>Mobile</t>
  </si>
  <si>
    <t>Smartphone</t>
  </si>
  <si>
    <t>ORD004</t>
  </si>
  <si>
    <t>C104</t>
  </si>
  <si>
    <t>Priya</t>
  </si>
  <si>
    <t>Bangalore</t>
  </si>
  <si>
    <t>Karnataka</t>
  </si>
  <si>
    <t>P104</t>
  </si>
  <si>
    <t>Clothing</t>
  </si>
  <si>
    <t>Shirt</t>
  </si>
  <si>
    <t>Cash</t>
  </si>
  <si>
    <t>Pending</t>
  </si>
  <si>
    <t>ORD005</t>
  </si>
  <si>
    <t>C105</t>
  </si>
  <si>
    <t>Arjun</t>
  </si>
  <si>
    <t>Mumbai</t>
  </si>
  <si>
    <t>Maharashtra</t>
  </si>
  <si>
    <t>P105</t>
  </si>
  <si>
    <t>Tablet</t>
  </si>
  <si>
    <t>ORD006</t>
  </si>
  <si>
    <t>C106</t>
  </si>
  <si>
    <t>Sneha</t>
  </si>
  <si>
    <t>Delhi</t>
  </si>
  <si>
    <t>P106</t>
  </si>
  <si>
    <t>Beauty</t>
  </si>
  <si>
    <t>Skincare</t>
  </si>
  <si>
    <t>ORD007</t>
  </si>
  <si>
    <t>C107</t>
  </si>
  <si>
    <t>Vinay</t>
  </si>
  <si>
    <t>Pune</t>
  </si>
  <si>
    <t>P107</t>
  </si>
  <si>
    <t>Table</t>
  </si>
  <si>
    <t>ORD008</t>
  </si>
  <si>
    <t>C108</t>
  </si>
  <si>
    <t>Divya</t>
  </si>
  <si>
    <t>P108</t>
  </si>
  <si>
    <t>Headphones</t>
  </si>
  <si>
    <t>Cancelled</t>
  </si>
  <si>
    <t>ORD009</t>
  </si>
  <si>
    <t>C109</t>
  </si>
  <si>
    <t>Ravi</t>
  </si>
  <si>
    <t>P109</t>
  </si>
  <si>
    <t>Monitor</t>
  </si>
  <si>
    <t>ORD010</t>
  </si>
  <si>
    <t>C110</t>
  </si>
  <si>
    <t>Latha</t>
  </si>
  <si>
    <t>P110</t>
  </si>
  <si>
    <t>Shoes</t>
  </si>
  <si>
    <t>ORD011</t>
  </si>
  <si>
    <t>C125</t>
  </si>
  <si>
    <t>Manish</t>
  </si>
  <si>
    <t>P148</t>
  </si>
  <si>
    <t>ORD012</t>
  </si>
  <si>
    <t>C140</t>
  </si>
  <si>
    <t>Vijay</t>
  </si>
  <si>
    <t>Kochi</t>
  </si>
  <si>
    <t>Kerala</t>
  </si>
  <si>
    <t>Desk Lamp</t>
  </si>
  <si>
    <t>ORD013</t>
  </si>
  <si>
    <t>C146</t>
  </si>
  <si>
    <t>Suresh</t>
  </si>
  <si>
    <t>P133</t>
  </si>
  <si>
    <t>ORD014</t>
  </si>
  <si>
    <t>C169</t>
  </si>
  <si>
    <t>Deepak</t>
  </si>
  <si>
    <t>Ahmedabad</t>
  </si>
  <si>
    <t>Gujarat</t>
  </si>
  <si>
    <t>P147</t>
  </si>
  <si>
    <t>Makeup Kit</t>
  </si>
  <si>
    <t>ORD015</t>
  </si>
  <si>
    <t>C148</t>
  </si>
  <si>
    <t>P121</t>
  </si>
  <si>
    <t>Jeans</t>
  </si>
  <si>
    <t>ORD016</t>
  </si>
  <si>
    <t>C198</t>
  </si>
  <si>
    <t>Alok</t>
  </si>
  <si>
    <t>P135</t>
  </si>
  <si>
    <t>ORD017</t>
  </si>
  <si>
    <t>C118</t>
  </si>
  <si>
    <t>Amit</t>
  </si>
  <si>
    <t>Net Banking</t>
  </si>
  <si>
    <t>ORD018</t>
  </si>
  <si>
    <t>Hair Dryer</t>
  </si>
  <si>
    <t>ORD019</t>
  </si>
  <si>
    <t>C174</t>
  </si>
  <si>
    <t>ORD020</t>
  </si>
  <si>
    <t>C181</t>
  </si>
  <si>
    <t>Rohan</t>
  </si>
  <si>
    <t>Visakhapatnam</t>
  </si>
  <si>
    <t>P129</t>
  </si>
  <si>
    <t>ORD021</t>
  </si>
  <si>
    <t>C144</t>
  </si>
  <si>
    <t>Lucknow</t>
  </si>
  <si>
    <t>Uttar Pradesh</t>
  </si>
  <si>
    <t>P120</t>
  </si>
  <si>
    <t>Perfume</t>
  </si>
  <si>
    <t>ORD022</t>
  </si>
  <si>
    <t>C173</t>
  </si>
  <si>
    <t>P126</t>
  </si>
  <si>
    <t>ORD023</t>
  </si>
  <si>
    <t>C179</t>
  </si>
  <si>
    <t>Vikram</t>
  </si>
  <si>
    <t>Kolkata</t>
  </si>
  <si>
    <t>West Bengal</t>
  </si>
  <si>
    <t>P124</t>
  </si>
  <si>
    <t>Charger</t>
  </si>
  <si>
    <t>ORD024</t>
  </si>
  <si>
    <t>C194</t>
  </si>
  <si>
    <t>Aarti</t>
  </si>
  <si>
    <t>P115</t>
  </si>
  <si>
    <t>ORD025</t>
  </si>
  <si>
    <t>C111</t>
  </si>
  <si>
    <t>P143</t>
  </si>
  <si>
    <t>ORD026</t>
  </si>
  <si>
    <t>C127</t>
  </si>
  <si>
    <t>Pooja</t>
  </si>
  <si>
    <t>P117</t>
  </si>
  <si>
    <t>ORD027</t>
  </si>
  <si>
    <t>C117</t>
  </si>
  <si>
    <t>P123</t>
  </si>
  <si>
    <t>ORD028</t>
  </si>
  <si>
    <t>C134</t>
  </si>
  <si>
    <t>P114</t>
  </si>
  <si>
    <t>ORD029</t>
  </si>
  <si>
    <t>C163</t>
  </si>
  <si>
    <t>P111</t>
  </si>
  <si>
    <t>ORD030</t>
  </si>
  <si>
    <t>C200</t>
  </si>
  <si>
    <t>Anjali</t>
  </si>
  <si>
    <t>P131</t>
  </si>
  <si>
    <t>ORD031</t>
  </si>
  <si>
    <t>C131</t>
  </si>
  <si>
    <t>ORD032</t>
  </si>
  <si>
    <t>C116</t>
  </si>
  <si>
    <t>Jaipur</t>
  </si>
  <si>
    <t>Rajasthan</t>
  </si>
  <si>
    <t>ORD033</t>
  </si>
  <si>
    <t>C193</t>
  </si>
  <si>
    <t>P150</t>
  </si>
  <si>
    <t>Smartwatch</t>
  </si>
  <si>
    <t>ORD034</t>
  </si>
  <si>
    <t>C175</t>
  </si>
  <si>
    <t>Power Bank</t>
  </si>
  <si>
    <t>ORD035</t>
  </si>
  <si>
    <t>C178</t>
  </si>
  <si>
    <t>P118</t>
  </si>
  <si>
    <t>Sofa</t>
  </si>
  <si>
    <t>ORD036</t>
  </si>
  <si>
    <t>C188</t>
  </si>
  <si>
    <t>Abhishek</t>
  </si>
  <si>
    <t>P127</t>
  </si>
  <si>
    <t>ORD037</t>
  </si>
  <si>
    <t>P146</t>
  </si>
  <si>
    <t>Jacket</t>
  </si>
  <si>
    <t>ORD038</t>
  </si>
  <si>
    <t>C115</t>
  </si>
  <si>
    <t>Swati</t>
  </si>
  <si>
    <t>P130</t>
  </si>
  <si>
    <t>ORD039</t>
  </si>
  <si>
    <t>C142</t>
  </si>
  <si>
    <t>P122</t>
  </si>
  <si>
    <t>ORD040</t>
  </si>
  <si>
    <t>P141</t>
  </si>
  <si>
    <t>ORD041</t>
  </si>
  <si>
    <t>ORD042</t>
  </si>
  <si>
    <t>C114</t>
  </si>
  <si>
    <t>P149</t>
  </si>
  <si>
    <t>ORD043</t>
  </si>
  <si>
    <t>C176</t>
  </si>
  <si>
    <t>ORD044</t>
  </si>
  <si>
    <t>C119</t>
  </si>
  <si>
    <t>P137</t>
  </si>
  <si>
    <t>ORD045</t>
  </si>
  <si>
    <t>C135</t>
  </si>
  <si>
    <t>Megha</t>
  </si>
  <si>
    <t>ORD046</t>
  </si>
  <si>
    <t>ORD047</t>
  </si>
  <si>
    <t>C141</t>
  </si>
  <si>
    <t>ORD048</t>
  </si>
  <si>
    <t>C184</t>
  </si>
  <si>
    <t>ORD049</t>
  </si>
  <si>
    <t>P139</t>
  </si>
  <si>
    <t>ORD050</t>
  </si>
  <si>
    <t>ORD051</t>
  </si>
  <si>
    <t>C145</t>
  </si>
  <si>
    <t>Shweta</t>
  </si>
  <si>
    <t>ORD052</t>
  </si>
  <si>
    <t>C153</t>
  </si>
  <si>
    <t>ORD053</t>
  </si>
  <si>
    <t>C160</t>
  </si>
  <si>
    <t>P128</t>
  </si>
  <si>
    <t>ORD054</t>
  </si>
  <si>
    <t>C196</t>
  </si>
  <si>
    <t>P116</t>
  </si>
  <si>
    <t>ORD055</t>
  </si>
  <si>
    <t>ORD056</t>
  </si>
  <si>
    <t>C180</t>
  </si>
  <si>
    <t>ORD057</t>
  </si>
  <si>
    <t>C171</t>
  </si>
  <si>
    <t>ORD058</t>
  </si>
  <si>
    <t>C185</t>
  </si>
  <si>
    <t>ORD059</t>
  </si>
  <si>
    <t>C187</t>
  </si>
  <si>
    <t>ORD060</t>
  </si>
  <si>
    <t>C166</t>
  </si>
  <si>
    <t>ORD061</t>
  </si>
  <si>
    <t>C186</t>
  </si>
  <si>
    <t>P140</t>
  </si>
  <si>
    <t>ORD062</t>
  </si>
  <si>
    <t>ORD063</t>
  </si>
  <si>
    <t>C121</t>
  </si>
  <si>
    <t>ORD064</t>
  </si>
  <si>
    <t>C199</t>
  </si>
  <si>
    <t>P138</t>
  </si>
  <si>
    <t>ORD065</t>
  </si>
  <si>
    <t>C150</t>
  </si>
  <si>
    <t>P145</t>
  </si>
  <si>
    <t>ORD066</t>
  </si>
  <si>
    <t>Kavita</t>
  </si>
  <si>
    <t>ORD067</t>
  </si>
  <si>
    <t>ORD068</t>
  </si>
  <si>
    <t>ORD069</t>
  </si>
  <si>
    <t>C149</t>
  </si>
  <si>
    <t>P144</t>
  </si>
  <si>
    <t>ORD070</t>
  </si>
  <si>
    <t>C165</t>
  </si>
  <si>
    <t>ORD071</t>
  </si>
  <si>
    <t>C120</t>
  </si>
  <si>
    <t>P125</t>
  </si>
  <si>
    <t>ORD072</t>
  </si>
  <si>
    <t>ORD073</t>
  </si>
  <si>
    <t>ORD074</t>
  </si>
  <si>
    <t>P112</t>
  </si>
  <si>
    <t>ORD075</t>
  </si>
  <si>
    <t>Sanjay</t>
  </si>
  <si>
    <t>ORD076</t>
  </si>
  <si>
    <t>P142</t>
  </si>
  <si>
    <t>ORD077</t>
  </si>
  <si>
    <t>C151</t>
  </si>
  <si>
    <t>ORD078</t>
  </si>
  <si>
    <t>C157</t>
  </si>
  <si>
    <t>ORD079</t>
  </si>
  <si>
    <t>ORD080</t>
  </si>
  <si>
    <t>C130</t>
  </si>
  <si>
    <t>Ritu</t>
  </si>
  <si>
    <t>ORD081</t>
  </si>
  <si>
    <t>ORD082</t>
  </si>
  <si>
    <t>ORD083</t>
  </si>
  <si>
    <t>ORD084</t>
  </si>
  <si>
    <t>C123</t>
  </si>
  <si>
    <t>Neha</t>
  </si>
  <si>
    <t>ORD085</t>
  </si>
  <si>
    <t>C197</t>
  </si>
  <si>
    <t>ORD086</t>
  </si>
  <si>
    <t>C122</t>
  </si>
  <si>
    <t>ORD087</t>
  </si>
  <si>
    <t>C156</t>
  </si>
  <si>
    <t>ORD088</t>
  </si>
  <si>
    <t>ORD089</t>
  </si>
  <si>
    <t>ORD090</t>
  </si>
  <si>
    <t>C159</t>
  </si>
  <si>
    <t>ORD091</t>
  </si>
  <si>
    <t>ORD092</t>
  </si>
  <si>
    <t>C167</t>
  </si>
  <si>
    <t>ORD093</t>
  </si>
  <si>
    <t>ORD094</t>
  </si>
  <si>
    <t>C139</t>
  </si>
  <si>
    <t>ORD095</t>
  </si>
  <si>
    <t>ORD096</t>
  </si>
  <si>
    <t>ORD097</t>
  </si>
  <si>
    <t>C158</t>
  </si>
  <si>
    <t>ORD098</t>
  </si>
  <si>
    <t>ORD099</t>
  </si>
  <si>
    <t>C138</t>
  </si>
  <si>
    <t>ORD100</t>
  </si>
  <si>
    <t>C129</t>
  </si>
  <si>
    <t>ORD101</t>
  </si>
  <si>
    <t>C152</t>
  </si>
  <si>
    <t>ORD102</t>
  </si>
  <si>
    <t>C124</t>
  </si>
  <si>
    <t>ORD103</t>
  </si>
  <si>
    <t>ORD104</t>
  </si>
  <si>
    <t>ORD105</t>
  </si>
  <si>
    <t>C154</t>
  </si>
  <si>
    <t>ORD106</t>
  </si>
  <si>
    <t>ORD107</t>
  </si>
  <si>
    <t>ORD108</t>
  </si>
  <si>
    <t>ORD109</t>
  </si>
  <si>
    <t>ORD110</t>
  </si>
  <si>
    <t>C192</t>
  </si>
  <si>
    <t>P132</t>
  </si>
  <si>
    <t>Sales Dashboard Analysis</t>
  </si>
  <si>
    <t>Total Sales</t>
  </si>
  <si>
    <t>Total Profit</t>
  </si>
  <si>
    <t>Total Orders</t>
  </si>
  <si>
    <t>Average Sales</t>
  </si>
  <si>
    <t>Row Labels</t>
  </si>
  <si>
    <t>Grand Total</t>
  </si>
  <si>
    <t>Sum of Sales_Amount</t>
  </si>
  <si>
    <t>Jan</t>
  </si>
  <si>
    <t>Feb</t>
  </si>
  <si>
    <t>Mar</t>
  </si>
  <si>
    <t>Sales Details</t>
  </si>
  <si>
    <t>Sales Performance Analysis Dashboard</t>
  </si>
  <si>
    <t>Profit Margin %</t>
  </si>
  <si>
    <t>Average Order Value</t>
  </si>
  <si>
    <t>Sum of Profit</t>
  </si>
  <si>
    <t>Sales</t>
  </si>
  <si>
    <t>Top 10 Selling Items</t>
  </si>
  <si>
    <t>Sales by Age</t>
  </si>
  <si>
    <t>18-25</t>
  </si>
  <si>
    <t>26-35</t>
  </si>
  <si>
    <t>36-45</t>
  </si>
  <si>
    <t>46+</t>
  </si>
  <si>
    <t>v</t>
  </si>
  <si>
    <t>Highest Selling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</si>
</sst>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9" formatCode="&quot;₹&quot;\ #,##0.00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8"/>
      <color theme="4" tint="0.79998168889431442"/>
      <name val="Times New Roman"/>
      <family val="1"/>
    </font>
    <font>
      <sz val="16"/>
      <color theme="4" tint="0.79998168889431442"/>
      <name val="Times New Roman"/>
      <family val="1"/>
    </font>
    <font>
      <sz val="14"/>
      <color theme="4" tint="0.79998168889431442"/>
      <name val="Times New Roman"/>
      <family val="1"/>
    </font>
    <font>
      <sz val="12"/>
      <color theme="4" tint="0.79998168889431442"/>
      <name val="Times New Roman"/>
      <family val="1"/>
    </font>
    <font>
      <sz val="14"/>
      <color theme="8" tint="0.39997558519241921"/>
      <name val="Times New Roman"/>
      <family val="1"/>
    </font>
    <font>
      <sz val="11"/>
      <color theme="8" tint="0.3999755851924192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2"/>
      <color rgb="FFFFFF00"/>
      <name val="Times New Roman"/>
      <family val="1"/>
    </font>
    <font>
      <sz val="12"/>
      <color rgb="FFFF0000"/>
      <name val="Times New Roman"/>
      <family val="1"/>
    </font>
    <font>
      <sz val="12"/>
      <color theme="5" tint="0.3999755851924192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336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3" xfId="0" applyBorder="1"/>
    <xf numFmtId="0" fontId="1" fillId="2" borderId="3" xfId="0" applyFont="1" applyFill="1" applyBorder="1"/>
    <xf numFmtId="14" fontId="0" fillId="3" borderId="2" xfId="0" applyNumberFormat="1" applyFill="1" applyBorder="1"/>
    <xf numFmtId="1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44" fontId="0" fillId="0" borderId="0" xfId="0" applyNumberFormat="1"/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/>
    </xf>
    <xf numFmtId="44" fontId="5" fillId="5" borderId="0" xfId="0" applyNumberFormat="1" applyFont="1" applyFill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0" xfId="0" applyFill="1"/>
    <xf numFmtId="0" fontId="0" fillId="5" borderId="0" xfId="0" applyFill="1"/>
    <xf numFmtId="0" fontId="6" fillId="4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8" fillId="6" borderId="11" xfId="0" applyFont="1" applyFill="1" applyBorder="1" applyAlignment="1">
      <alignment horizontal="center"/>
    </xf>
    <xf numFmtId="0" fontId="8" fillId="6" borderId="12" xfId="0" applyFont="1" applyFill="1" applyBorder="1" applyAlignment="1"/>
    <xf numFmtId="0" fontId="8" fillId="6" borderId="0" xfId="0" applyFont="1" applyFill="1" applyAlignment="1"/>
    <xf numFmtId="0" fontId="8" fillId="6" borderId="13" xfId="0" applyFont="1" applyFill="1" applyBorder="1" applyAlignment="1"/>
    <xf numFmtId="0" fontId="5" fillId="6" borderId="11" xfId="0" applyFont="1" applyFill="1" applyBorder="1" applyAlignment="1">
      <alignment horizontal="center"/>
    </xf>
    <xf numFmtId="0" fontId="0" fillId="5" borderId="0" xfId="0" applyFill="1" applyAlignment="1"/>
    <xf numFmtId="44" fontId="5" fillId="5" borderId="0" xfId="0" applyNumberFormat="1" applyFont="1" applyFill="1" applyBorder="1" applyAlignment="1">
      <alignment horizontal="center"/>
    </xf>
    <xf numFmtId="0" fontId="0" fillId="0" borderId="0" xfId="0" applyNumberFormat="1"/>
    <xf numFmtId="0" fontId="9" fillId="5" borderId="0" xfId="0" applyNumberFormat="1" applyFont="1" applyFill="1" applyAlignment="1">
      <alignment horizontal="center"/>
    </xf>
    <xf numFmtId="0" fontId="9" fillId="5" borderId="13" xfId="0" applyNumberFormat="1" applyFont="1" applyFill="1" applyBorder="1" applyAlignment="1">
      <alignment horizontal="center"/>
    </xf>
    <xf numFmtId="0" fontId="10" fillId="5" borderId="0" xfId="0" applyNumberFormat="1" applyFont="1" applyFill="1" applyAlignment="1">
      <alignment horizontal="center"/>
    </xf>
    <xf numFmtId="0" fontId="10" fillId="5" borderId="0" xfId="0" applyNumberFormat="1" applyFont="1" applyFill="1" applyAlignment="1"/>
    <xf numFmtId="0" fontId="11" fillId="5" borderId="0" xfId="0" applyNumberFormat="1" applyFont="1" applyFill="1" applyAlignment="1">
      <alignment horizontal="center"/>
    </xf>
    <xf numFmtId="0" fontId="11" fillId="5" borderId="0" xfId="0" applyNumberFormat="1" applyFont="1" applyFill="1" applyAlignment="1">
      <alignment horizontal="center" vertical="center"/>
    </xf>
    <xf numFmtId="169" fontId="3" fillId="5" borderId="4" xfId="0" applyNumberFormat="1" applyFont="1" applyFill="1" applyBorder="1" applyAlignment="1">
      <alignment horizontal="center"/>
    </xf>
    <xf numFmtId="12" fontId="3" fillId="5" borderId="4" xfId="0" applyNumberFormat="1" applyFont="1" applyFill="1" applyBorder="1" applyAlignment="1">
      <alignment horizontal="center"/>
    </xf>
    <xf numFmtId="10" fontId="4" fillId="5" borderId="8" xfId="0" applyNumberFormat="1" applyFont="1" applyFill="1" applyBorder="1" applyAlignment="1">
      <alignment horizontal="center"/>
    </xf>
    <xf numFmtId="10" fontId="4" fillId="5" borderId="6" xfId="0" applyNumberFormat="1" applyFont="1" applyFill="1" applyBorder="1" applyAlignment="1">
      <alignment horizontal="center"/>
    </xf>
    <xf numFmtId="10" fontId="4" fillId="5" borderId="9" xfId="0" applyNumberFormat="1" applyFont="1" applyFill="1" applyBorder="1" applyAlignment="1">
      <alignment horizontal="center"/>
    </xf>
    <xf numFmtId="169" fontId="0" fillId="7" borderId="0" xfId="0" applyNumberFormat="1" applyFill="1"/>
    <xf numFmtId="169" fontId="4" fillId="5" borderId="8" xfId="0" applyNumberFormat="1" applyFont="1" applyFill="1" applyBorder="1" applyAlignment="1">
      <alignment horizontal="center"/>
    </xf>
    <xf numFmtId="169" fontId="4" fillId="5" borderId="6" xfId="0" applyNumberFormat="1" applyFont="1" applyFill="1" applyBorder="1" applyAlignment="1">
      <alignment horizontal="center"/>
    </xf>
    <xf numFmtId="169" fontId="4" fillId="5" borderId="9" xfId="0" applyNumberFormat="1" applyFont="1" applyFill="1" applyBorder="1" applyAlignment="1">
      <alignment horizontal="center"/>
    </xf>
    <xf numFmtId="49" fontId="4" fillId="5" borderId="14" xfId="0" applyNumberFormat="1" applyFont="1" applyFill="1" applyBorder="1" applyAlignment="1">
      <alignment horizontal="center"/>
    </xf>
    <xf numFmtId="49" fontId="4" fillId="5" borderId="7" xfId="0" applyNumberFormat="1" applyFont="1" applyFill="1" applyBorder="1" applyAlignment="1">
      <alignment horizontal="center"/>
    </xf>
    <xf numFmtId="49" fontId="6" fillId="7" borderId="10" xfId="0" applyNumberFormat="1" applyFont="1" applyFill="1" applyBorder="1" applyAlignment="1">
      <alignment horizontal="center"/>
    </xf>
    <xf numFmtId="49" fontId="6" fillId="7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font>
        <color theme="4" tint="-0.499984740745262"/>
      </font>
    </dxf>
    <dxf>
      <font>
        <color theme="4" tint="-0.499984740745262"/>
      </font>
    </dxf>
    <dxf>
      <font>
        <color theme="4" tint="-0.499984740745262"/>
        <name val="Times New Roman"/>
        <family val="1"/>
        <scheme val="none"/>
      </font>
      <border>
        <bottom style="thin">
          <color theme="4"/>
        </bottom>
        <vertical/>
        <horizontal/>
      </border>
    </dxf>
    <dxf>
      <font>
        <color theme="4" tint="-0.499984740745262"/>
        <name val="Times New Roman"/>
        <family val="1"/>
        <scheme val="none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numFmt numFmtId="34" formatCode="_ &quot;₹&quot;\ * #,##0.00_ ;_ &quot;₹&quot;\ * \-#,##0.00_ ;_ &quot;₹&quot;\ * &quot;-&quot;??_ ;_ @_ "/>
    </dxf>
    <dxf>
      <numFmt numFmtId="34" formatCode="_ &quot;₹&quot;\ * #,##0.00_ ;_ &quot;₹&quot;\ * \-#,##0.00_ ;_ &quot;₹&quot;\ * &quot;-&quot;??_ ;_ @_ "/>
    </dxf>
    <dxf>
      <numFmt numFmtId="19" formatCode="dd/mm/yyyy"/>
    </dxf>
  </dxfs>
  <tableStyles count="3" defaultTableStyle="TableStyleMedium2" defaultPivotStyle="PivotStyleLight16">
    <tableStyle name="Invisible" pivot="0" table="0" count="0" xr9:uid="{42CF10ED-C72D-42A3-8E43-4BBD17233533}"/>
    <tableStyle name="Slicer Style1221" pivot="0" table="0" count="10" xr9:uid="{C3232DCB-8B97-4A55-8E36-556AFDBF3AA3}">
      <tableStyleElement type="wholeTable" dxfId="13"/>
      <tableStyleElement type="headerRow" dxfId="12"/>
    </tableStyle>
    <tableStyle name="SlicerStyleDark1 2" pivot="0" table="0" count="10" xr9:uid="{ED930029-F5C8-405C-A990-9DD0ECE62B1C}">
      <tableStyleElement type="wholeTable" dxfId="15"/>
      <tableStyleElement type="headerRow" dxfId="14"/>
    </tableStyle>
  </tableStyles>
  <colors>
    <mruColors>
      <color rgb="FF003366"/>
    </mruColors>
  </colors>
  <extLst>
    <ext xmlns:x14="http://schemas.microsoft.com/office/spreadsheetml/2009/9/main" uri="{46F421CA-312F-682f-3DD2-61675219B42D}">
      <x14:dxfs count="16"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</dxf>
        <dxf>
          <font>
            <color theme="4" tint="-0.49998474074526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49998474074526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49998474074526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49998474074526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  <name val="Times New Roman"/>
            <family val="1"/>
            <scheme val="none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4" tint="-0.499984740745262"/>
            <name val="Times New Roman"/>
            <family val="1"/>
            <scheme val="none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theme="4" tint="-0.499984740745262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4" tint="-0.499984740745262"/>
            <name val="Times New Roman"/>
            <family val="1"/>
            <scheme val="none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1221">
          <x14:slicerStyleElements>
            <x14:slicerStyleElement type="unselectedItemWithData" dxfId="5"/>
            <x14:slicerStyleElement type="unselectedItemWithNoData" dxfId="4"/>
            <x14:slicerStyleElement type="selectedItemWithData" dxfId="7"/>
            <x14:slicerStyleElement type="selectedItemWithNoData" dxfId="6"/>
            <x14:slicerStyleElement type="hoveredUnselectedItemWithData" dxfId="1"/>
            <x14:slicerStyleElement type="hoveredSelectedItemWithData" dxfId="3"/>
            <x14:slicerStyleElement type="hoveredUnselectedItemWithNoData" dxfId="0"/>
            <x14:slicerStyleElement type="hoveredSelectedItemWithNoData" dxfId="2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[Excel_project_Finalanalysis.xlsx]Pivot_Date!PivotTable4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Pivot_Date!$B$3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Pivot_Date!$A$4:$A$7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Pivot_Date!$B$4:$B$7</c:f>
              <c:numCache>
                <c:formatCode>General</c:formatCode>
                <c:ptCount val="3"/>
                <c:pt idx="0">
                  <c:v>209105</c:v>
                </c:pt>
                <c:pt idx="1">
                  <c:v>1266948</c:v>
                </c:pt>
                <c:pt idx="2">
                  <c:v>1210506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9-468D-9CE2-5F88E9961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458975"/>
        <c:axId val="1619454655"/>
      </c:lineChart>
      <c:catAx>
        <c:axId val="161945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54655"/>
        <c:crosses val="autoZero"/>
        <c:auto val="1"/>
        <c:lblAlgn val="ctr"/>
        <c:lblOffset val="100"/>
        <c:noMultiLvlLbl val="0"/>
      </c:catAx>
      <c:valAx>
        <c:axId val="161945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58975"/>
        <c:crosses val="autoZero"/>
        <c:crossBetween val="between"/>
      </c:valAx>
      <c:spPr>
        <a:solidFill>
          <a:schemeClr val="accent5">
            <a:lumMod val="5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33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[Excel_project_Finalanalysis.xlsx]Pivot_Category!PivotTable1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Pivot_Category!$A$4:$A$9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Mobile</c:v>
                </c:pt>
              </c:strCache>
            </c:strRef>
          </c:cat>
          <c:val>
            <c:numRef>
              <c:f>Pivot_Category!$B$4:$B$9</c:f>
              <c:numCache>
                <c:formatCode>General</c:formatCode>
                <c:ptCount val="5"/>
                <c:pt idx="0">
                  <c:v>147845</c:v>
                </c:pt>
                <c:pt idx="1">
                  <c:v>198834</c:v>
                </c:pt>
                <c:pt idx="2">
                  <c:v>1356150</c:v>
                </c:pt>
                <c:pt idx="3">
                  <c:v>263430</c:v>
                </c:pt>
                <c:pt idx="4">
                  <c:v>720300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4E-4409-8957-55D16789B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5683839"/>
        <c:axId val="2035684319"/>
      </c:barChart>
      <c:catAx>
        <c:axId val="2035683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684319"/>
        <c:crosses val="autoZero"/>
        <c:auto val="1"/>
        <c:lblAlgn val="ctr"/>
        <c:lblOffset val="100"/>
        <c:noMultiLvlLbl val="0"/>
      </c:catAx>
      <c:valAx>
        <c:axId val="2035684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683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33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[Excel_project_Finalanalysis.xlsx]Pivot_City!PivotTable2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Profit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482132041187162"/>
          <c:y val="0.13478414720452941"/>
          <c:w val="0.69248637189582074"/>
          <c:h val="0.786665719332854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Pivot_City!$B$3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Pivot_City!$A$4:$A$17</c:f>
              <c:strCache>
                <c:ptCount val="13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Kochi</c:v>
                </c:pt>
                <c:pt idx="7">
                  <c:v>Kolkata</c:v>
                </c:pt>
                <c:pt idx="8">
                  <c:v>Lucknow</c:v>
                </c:pt>
                <c:pt idx="9">
                  <c:v>Mumbai</c:v>
                </c:pt>
                <c:pt idx="10">
                  <c:v>Pune</c:v>
                </c:pt>
                <c:pt idx="11">
                  <c:v>Vijayawada</c:v>
                </c:pt>
                <c:pt idx="12">
                  <c:v>Visakhapatnam</c:v>
                </c:pt>
              </c:strCache>
            </c:strRef>
          </c:cat>
          <c:val>
            <c:numRef>
              <c:f>Pivot_City!$B$4:$B$17</c:f>
              <c:numCache>
                <c:formatCode>General</c:formatCode>
                <c:ptCount val="13"/>
                <c:pt idx="0">
                  <c:v>15170</c:v>
                </c:pt>
                <c:pt idx="1">
                  <c:v>86086</c:v>
                </c:pt>
                <c:pt idx="2">
                  <c:v>68210</c:v>
                </c:pt>
                <c:pt idx="3">
                  <c:v>25900</c:v>
                </c:pt>
                <c:pt idx="4">
                  <c:v>21996</c:v>
                </c:pt>
                <c:pt idx="5">
                  <c:v>84680</c:v>
                </c:pt>
                <c:pt idx="6">
                  <c:v>44092</c:v>
                </c:pt>
                <c:pt idx="7">
                  <c:v>39150</c:v>
                </c:pt>
                <c:pt idx="8">
                  <c:v>47780</c:v>
                </c:pt>
                <c:pt idx="9">
                  <c:v>24510</c:v>
                </c:pt>
                <c:pt idx="10">
                  <c:v>49580</c:v>
                </c:pt>
                <c:pt idx="11">
                  <c:v>54705</c:v>
                </c:pt>
                <c:pt idx="12">
                  <c:v>87600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F-4BEA-AE42-54CDC3F53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5683359"/>
        <c:axId val="1618160143"/>
      </c:barChart>
      <c:catAx>
        <c:axId val="203568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618160143"/>
        <c:crosses val="autoZero"/>
        <c:auto val="1"/>
        <c:lblAlgn val="ctr"/>
        <c:lblOffset val="100"/>
        <c:noMultiLvlLbl val="0"/>
      </c:catAx>
      <c:valAx>
        <c:axId val="161816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3568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33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60000"/>
              <a:lumOff val="40000"/>
            </a:schemeClr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[Excel_project_Finalanalysis.xlsx]Pivot_Customer!PivotTable3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 Type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5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5B9BD5">
                <a:lumMod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accent5">
                      <a:lumMod val="60000"/>
                      <a:lumOff val="4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Pivot_Customer!$B$3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rgbClr val="5B9BD5">
                  <a:lumMod val="5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Pivot_Customer!$A$4:$A$6</c:f>
              <c:strCache>
                <c:ptCount val="2"/>
                <c:pt idx="0">
                  <c:v>New</c:v>
                </c:pt>
                <c:pt idx="1">
                  <c:v>Returning</c:v>
                </c:pt>
              </c:strCache>
            </c:strRef>
          </c:cat>
          <c:val>
            <c:numRef>
              <c:f>Pivot_Customer!$B$4:$B$6</c:f>
              <c:numCache>
                <c:formatCode>General</c:formatCode>
                <c:ptCount val="2"/>
                <c:pt idx="0">
                  <c:v>1215506</c:v>
                </c:pt>
                <c:pt idx="1">
                  <c:v>1471053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EE-4717-BD31-E0081E9B4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33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accent5">
              <a:lumMod val="60000"/>
              <a:lumOff val="4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solidFill>
              <a:schemeClr val="accent1">
                <a:lumMod val="50000"/>
              </a:schemeClr>
            </a:solidFill>
          </cx:spPr>
        </cx:plotSurface>
        <cx:series layoutId="regionMap" uniqueId="{DDFB3654-213D-4A61-BA1C-E0B9C0974448}">
          <cx:tx>
            <cx:txData>
              <cx:f>_xlchart.v5.2</cx:f>
              <cx:v>Sales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ln>
                      <a:solidFill>
                        <a:schemeClr val="accent1"/>
                      </a:solidFill>
                    </a:ln>
                    <a:solidFill>
                      <a:schemeClr val="accent1">
                        <a:lumMod val="60000"/>
                        <a:lumOff val="40000"/>
                      </a:schemeClr>
                    </a:solidFill>
                  </a:defRPr>
                </a:pPr>
                <a:endParaRPr lang="en-US" sz="850" b="0" i="0" u="none" strike="noStrike" baseline="0">
                  <a:ln>
                    <a:solidFill>
                      <a:schemeClr val="accent1"/>
                    </a:solidFill>
                  </a:ln>
                  <a:solidFill>
                    <a:schemeClr val="accent1">
                      <a:lumMod val="60000"/>
                      <a:lumOff val="40000"/>
                    </a:schemeClr>
                  </a:solidFill>
                  <a:latin typeface="Calibri" panose="020F0502020204030204"/>
                </a:endParaRPr>
              </a:p>
            </cx:txPr>
            <cx:visibility seriesName="0" categoryName="1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1Htpc9w4su1fcfjzoxo7wInpiRiSVdRa2rz2F4ZsySBIghu4gb/+pmy5W66R7R69vhG3FR3RriIJ
JDORmSdPZv3z4/KPj9XdTf9isVXt/vFx+fVlPgztP375xX3M7+yNO7DmY9+45tNw8LGxvzSfPpmP
d7/c9jezqfUvBGH2y8f8ph/ulpf/+iespu+a0+bjzWCa+nK86/3VnRurwf3g2pOXXtzcWlMnxg29
+TjgX1+e3cAuNy4f+puXL+7qwQz+lW/vfn35zY0vX/yyv9x/bP2iAumG8RaexeEB4wQpykP0+Q+/
fFE1tX64LMUBRiqkhIVf/vjXrXc3Fh7/kzJ9lujm9ra/cw7e6/P/9x7+5iXg2uHLFx+bsR7u9adB
lb++PKpvDby5cU385ULc3L/B0e7zK//yreb/9c+9L0AJe988Ms6+xn526T9s8+/6Nu9vXlz0N7d3
Lv+qo7/APPxAcs6xCtGDAb41T3gQCs4wDx/sQ79u/cU8f16spy20//yekf598bcyUnJX5eargv7/
bUPUgWCUhkiIJ11HHmDMmVQcfzGd+Lr1F9v8VJqnTfLw2J4lktO/lSXSsYBQNnxVyF9gC3IgQiKw
ZORJW+ADHkokwCBP2uJPyPO0NX5/cM8e6fHfyh4nN319M9yUf2ViYQcSI0bYdywCiUXIEHNwoM9/
e5HrT0n0tE0ePbpnlZN//72sctffVH+lSdABY6GSUrJvs4g4YEgRwfBDICNfHfNLpDr5qRzfMcTD
c/tW+HvFqqub4sYN+U39VSl/QbQSB1wxLgR+iFag8Megix4oyOdIhA+ZYw90/SmJnjbJo0f3rHL1
94pYr26sqV7sbm7Hv84sGB8gLDBCSn1rDwX+IRFBXH7d7Itj/DkhnrbE42f3TPEKEO3fCPu+uqtu
an1T/5WRSh4ohAQP8Z4lwgOEQnAO/oB34fKXSujBIH9GlO/Y449H982R/q3M8XoYoJj9yysRIg5C
QjlAqC8AC+FvfEShA4hnlBP1dD7/01I9bZ29x/cs9PrvVYe8vXPDi+gOfKb6enz/gpwCSYNzRcBI
XwDVt56j5EEoCaaS8S/228spf1Kmp63zzcN7tnkb/Z/2nqfj7GN25Zs7/kt2hZCDe5dQYi/BhwdU
UAAAkjxZjjwwHd+X4mkzPDz2jcD/y7TJ9ymV30mnBAqLzWe26hGr8uOrn18PaLS9R39Een3R1dHt
ry9liKgg6JGl7pf5Jk2kze+56psn7gDowQLsgACrgu6LRQE1ighfvpjBZeEKPRCcMiIxYYhQRsHH
6qYfcuDR+IHCTIQhBptKsC7UM64ZP19iB0pBKkOIMgzLAbr4+oIXTeV1U/+ujYfPL+rRXjSmHtyv
L4E1aL/c9VlUdi8YEuQ+BwqJ6X0Ybj/eXAEVCTfj/0fkPNW8mudNoXUTLXO+brNiIDHGeRMFtlgA
5/3OED6xH8SFJ/aDDTlnCPQByni8X6WpK0WF5s3KXBGtTH+a1raI/Bws4Pk/2olQMNL+XlwhGZKQ
US45AvU+3msUnFCa5/OGYFTG2nLexp3O8VFBSHtWZno6G1dapBUZ6kR3fXgrqma6cPVSHtmQjTbq
ghIfIz+3QVSOjpVRGer+LasKOUdGCb4TQuPjERH3wc8rz2KHZSaiYlG5juxaLTKaaXMXZCONhCrx
K6v6YdpSaTp8MrAeXZiKOB07s2bJUEh2N4i82Tg1F1OsXDV+Gpcgv9PCZElZS5o0WbVehB0RNBo6
r9NuGou4HIfpshBrcNKhEE2HHRvLOirzEEQZZZa9VQqtJiJ5t8rI6ErqSCsvWRToQKbtSvsmslUR
dPEYznqJHOtJE1E59Z9sEfTH0okjqeE84Gkkm0DWp7UXr2puyjYpC5odrzpYTwzh9cWyVKdLToYN
y9AUa9O+C2xexAqRy4KtdVpzeeqXsY9MSPKoa/supmHQn/q8ymM0jlOcIeGiCodVngRC1ZEpebnB
wVIeB969M+FYRHZhZeI700RCBipaJrkb6qLYVi6M87xsY4qXYcODcDNltU9LTS5xbyJHgivfTQnH
0kUCL3mqJGdJZcMj0uEpLlsK2/d9ESGsP9WFCSM+FvCP3EcSzc2hq4YwnipZR03uUCIYbE6ERcmk
0OU8YheNTQ+uA5lak/LM1rpMiNAf5gyOOnaVSlgdpGZGl03ZJ+peoyXNwyRj+fWACx2jhdzyMTvF
pTzqmqKKK2xT1C4qMrNuY+LoZUbLJW4svi2E3dISdbEdh5Si4hMiotyUWf+Ow4cpUztKi09laE7t
oI91W+K4nLIumvLuWvciDbiLlJ9O8qxMBxqc5lVvNm3o4dwtiqxRl3WdPi0om1FSsMyddwPfmaB5
V09FG8+ULRGdqxMULndibIukXHqxLS0Yr1/UEoU6rKNpmMPNSE0ZraqmYPOuiEamdsTnekez5UOe
ubeLJmLDyexAGaWJRRa8yqg+9YVE8UpZFjWBy2Iim8SXWR0tQp/orGxS0ZN3JQrhBTIVoQy2q2bz
IeMsLepgiCpBZTzIJmJtM8UWwdZiJsGRa4Yp6R2fYzDsZW59GGfN7KOgqlyUWXDUsiPrqyFwU5Q5
+WpG8Ka1tKdTDXZgqP0Q6qbZfI5VD+nsISx+Ccsfm9b3RucPHZzfP/7rVWPhv89dhT++vG8A/fHp
7Gvn6Id3pXfNffni9m+6l+b3tUCYB+nu09k3H/4ju35NL3v580sj6jsX/1xyJQKy66Ow/h+p9WKs
i5sPX2Htfcp6eOQht0IVQSG6Q/YUCguGIL39nlshS9IQwBKTTKAQOKqH3ErJAcdYyvCeS+eCQIp6
SK0kPOAMkgE8yKUAHp78N6k1VPsJCEl+n2MARENTjHG2l4C01qUwNalTCGzusMfleFMb0UL0pdkF
rQJ3MnfIJ1XAmpN6UnnEIWYcgf8UJyGqcTwCQn+jas9vwx7VccdksL1nSRMyF8tJUNY5pNFARD3n
2TGzBuL6st6IkV00hUnoSHwkFnsSBBVLZmDyItlkY9SHZke96+NpNW9Iw24zNsZ04va4dG2XElvh
NaKoXLZdO8rYE2U2ppD4dcUNRLyuzKtjurL6rC39el5jaT+OZYNioYT44A3JD2G/+RxiSbAlLNBd
1Aqm3xA08bgPpjZmfjRJH2blb9yOVaJX2DWzVNuoNFV7OyE6HbGu0W+ZdfNRUDc0kQJPSVfby9aU
zU3p8+G4wN4ezb1azsdAqbTJ+UIj5xq8RGWzjBd5tSyHQSnqk0bP45W3ji+xqCHt5ENBXntsI90v
y7UpqN65nM0RyaYmDay8IKyeXg8h0nddZfp3Rszs0iI0Rw00Ny+M6mi89E27sSIz11NhyVFI/JtC
Tt1Fzg2+pmXHj0bQ9clgM3M65ap+M2cLSg2Aumhx2iRwNOK+64qbuWvNLs9VPkedwTiMmllO1yws
7E62+V3GMhWvphxjN4runTA+iwPm249izT75wqs1keHyNiftYZnz43Ek5ca0GF9OqkQbo4ryAsBK
+I6JpT3FvmUn1Pb0aBzX6paVaIpc2Tc2ckXOd76mwa5eW+UiBHjxY8vHLm2VtkdugRxY5v18bBHL
dnNVd4eyYjYesMJHuA7IWeflXdafYPKOFrAzAi7y2gW2Oa64c8ma1ZJHpBjbzaq91rEN2nqNwAj2
Qoum3IX56tIwWP1rslb4vK7GPtas6d5it/pd5cMs0WhCp55ABted7WPAJ3MyYjBQhAUJz+w8Ao7J
m9YdojyjyVhPkAUC8WmcIeUMoxw2HenCrRi6Jc4bshwNgCZ3IpSvNTNdEpZ82Boj1db5Xr4Ky2Da
tpWtbkQedJFwhpqYiyCLslLjTdFDputW77drHQTx4scmDjzqEjE2aMNWM0ba+O7MisYfkm6UaVUg
e2RXeV4vfWpp3UZSre1ZpjKW8ELFfBCR9EubrnqKWttFfZHFfvJ1PJPmA899illlTjSHNNSOqLxs
F2G2beD6tHQkYrhkW4Ehs5PM1CcKmvTvS7P4KdKoni6x6eYrUbfvmbAf6lVv+OpOXS0/FlMtLtas
VIdt0LNtj20Gwed+RdsrGs94ruJ2vZodu1LYeACK/ZB0XeavdWgGwAAANTNju3gx9pbyZtebddmI
gdQxHkVw1Yh2fJs3MwFUVa5pXwp0LptiiBtf4xNU6OG4cZRtxqGVd4Mqs61oBD3rRwrOhCTeZEaG
11QS0OrCCASPcIndNHVxw5t1C+e43ijs5zoq1nZ5q22mjqgs8k1VOrclSDbHiwxMLMvJpVNT+KOy
4YsGPAao1q16TbMxWy+UXvlWSwoYgGoZ+cwvie7B2r7keczXOoxwkA9pGXbVJsgAV7R+ZCkZoQKJ
mKAf2gLnHdzd+NOhRzi2aFiOUdlkb30drPHUlO3pEM7TMeqW+riuZnWY27D+MPN6OJlzgmIVlugK
nLzNI5PLDOBMJ0y8kJm+FqaRJB581W7KehkBmbBc7ZyGwLfJjaLbYiqqaMmEvl1C+5rOXbdpvUmD
CvsIFHFYsUYmkDD4u6kOLkc377yBN8+KOJ9MHfeT5xpAmije9dquG1upIi78MGybplBJ1lehjwrC
+Yb2uYtcOIL/D55D4YJNOtQcXThZbUo0VlGuwziosykqQnk6FnyMR5rruKTspFgbF0FL6bpep+WE
N5C7I16z4ToPhEnsON+WipaHc6NxkmXTWV6by4IKBlVGsGxXNfWxcYhth2ZeUzpmbUo5RHCOizVe
MtptRrtOd6EeLvNJvi5EO4TRBAvEuGz9u7aAsBHpzBb8cBIZi93KshgNKHFV1qcDcmu0osz/ZqqQ
XyFRTSewelyp6TCb9PuhhKhfmVeUyh2xegOwdI5tpe3GDQGKeJUFcb64/LQPUHG8NCU7koXo4gze
/C23IX3vaDEnplPlEWSJw3rI2mtdBX3quzHjMZ6mGYrGvG7fLavUJ53ww7m0vj1pAjncQUEaRHBy
79OgN2BUW28dF2EiVxdeOWEw1EXjRqDx3UimXVbYk3Eu1h22+qzpcwJptqoB6tbDHIVQO6EkKyCo
LhgdB4D0oU51p3TxsV3IBKXigCNW0LSpirQHDheqzYK2UVDaMsHrcNTbOVoW1Z4SpnQEd91h50O+
FXUJWqwc6a+pnrvTVt3Jhc6fjPTZrltKFc0ZJyd86FWdTrMZRNI083CzQhq6K1akknZB1QUu83aK
vFg6SG/FtL6ytRpeAdqnQRL60pJ4rkx36Sc0JL7l/RnUhnnCB9vzyBCP3kDoKZKuzZbUdbWLZuLn
FJEaJ6uCMmyc+yL2OBfXQZkvR1b51aZC+yxPaO5etXkASbpT5yrgYxtZFbzxRq5x2wBE0ai9q9pl
edVaWcWBk2I7sgqyN6U2vFSsebPI6aKpJ7up63w3mH4rRtVGAx3f4aF/3a/WRbQu6SXwRc22Dmu/
hbQXntWZzc3Go0q+K7irogZgheblxyJnKW304erMyWDk4TzMYzLPrNbJyqy24FmN3egJAoYrNk3B
my1G3WHDxwsfoKsS5R8hob2Z++nWQXHULTPftVp3W41ZGIuihbPrVwx5F1BYlm94LWQCbII/ax1D
ceYsS6hn3S7j+bbimc6TeZEuCXM27jRiayTbbsZR4Io2KTiiryD8qlO/utFEwxSwDUD4+ghjQJ0s
36GmNCfB4oLETDM97FYHtXOv/DXUu+uWTTO/wMoCEi5umQYAC8X+eDKCoeOuGs9E4ZrjIG+CyHFe
RdwRl6CWhscZMUOCofA/pMGE4qYPbgov2kPfVdXprDyk6KwTGygI+6hzYkmaNeenbs7wBcDv7ljJ
iRy2zayPu6w4scHSvR+LRb6ZMoh/ZDI51IU+mCM5DOqq71R7HmYYp3PR3KiqBnnDvt3MkH2iRYqj
LjA+dt3wrhP9TTc1PDFkYJG3XSqGsjjOEA7ecmPVu9rOwcZ0efC6Zn1iRatHMIcZ4wpUd7cEmd0A
ohSXs/c6Xooa8Si0vTsWXVkdDl13CKWFOKTzIECpVp9mOmgvpIIkpZsqoUM9vm3zoTvlRvXvG9Pg
pORdraJedAEEHprHZC7dFmddD2fHZHHubRbPOgy2QpZhvHLG03Yas9e1z7tLpIlKurzLrmjf0p0w
uj0CDDZfNaSq3/a6dzG1MzBLnPsrElgUTWaoboGwkGlnRP0pbNssXeaWxaoDBN3Kgp0SzNYqWoPa
3hhi8lM+rQWP8KzISYO8udYaUF4UiM68caiClFG1LiFjpne4QijV1KIdlh78etLAs+XOHWWrxYdI
1vq3mq04yogkyRzM9pZ1Y7gLVMvfeIyDaBxmEQk6uveh6/RV2RXVdTMv5HhWqoOUh80EqicibqES
2IDHFLFz98m1zi9dwbZrz3MAbM69GfOMHQZumXeSTlks5q7eMTe4Ewt94M2aZXdzPfc4WttcbOvK
A3RbaLYtV6He46WnJ7q29GpehdssA+5OtCsE4E/BD/3A+W9Qsnab1erwrh0ykoRQAB7lXjXnQhuz
m3BuDjkbAJCzujtuYMoMsgYLt0vdKRwTc1EGc70ZNSBzZUJ8bALM65iExY6s/blFOYmGBRihSQ72
WK3lYKKWhEeDxPSUz335CV6022RhK09KmbM+qoYmi+bKf+LZ+nGwpY8U6nXczkonuF8wkD3YRGzS
ED+rOjvJgPGZyhKQIw7PSOvLRCg+xa7k5q0JCp/Ma/W+UdMaG13Is/ae5uNrsa2R9XFD3HxyX+Tn
0VDfdXObcmXDk2YI/SbrgUFrfVe8yXMS0EguWCc5+FxSTWKIRJfXyTj2+JQBBIs7QurXGgA80Epo
eqMRF1HQoevC62zLsq2asxSXXXmcWaBUZ5FIPUNw8QDJEdoGGvudz9ZuO2gC/JdfzgvmPsDxXIDz
tcVubKY14b53STd0EmpuwdJ+xRTYWFS3MadwUKvMRkNfiPOxyt+vOdppiJ+bCuYF7rGB2TZdEGym
NgCmlfnsUBW2Skpm+suprUyCctcdTi5cNwEv7CFkiuIYT20ddZNV5+PqWepW2cU112eTpEjDXkgf
m2XEc1QRCO15CfR3gpvMZdEakreEAHhiKmZdVURT1VQ6btqgjAH4HubNaanUHI16mk8thMIyUsEy
XTte1O9tRsB5aI6zj31Wr0GU5XKpIpR3C4rRVFzaHgdXC+N2sEc9m1SkhhwNADP5tGtsWe+KocC/
QQbsd21QQZmbAx1cF2WnotXgRcc4CN+NdM3eEDyyTTdB3RINxkN9auvFH9V9iVNhwyGVrRZXPfD2
x34Q4xH3Db+iC2PpOJH+o+iLEOjafDTvmyYcPi7WrpFrW3DGCYInqCY8yTrcHA0g5GFIgA2cBCtj
07ghgQXYO6il5zfTaOz10M1sV0rSpDmumzUSqD+nYNNLYgkIs6rhjSbzXVsVZAOVkDnO0YTPPYZ/
jUsWxjABOgFvwLsqcnWAzyHb4o1lUwklR24j74PToEDQaKiY3koAFlGIuyCqgBEvImI4cDxrAW6L
2lBey2oJNqElMwDuxp4hizakX1WMNIeINWlzKPxUHoc97eNwaF4torzp2/ls9SaIitncliUrjmTX
n9mppzHyS9dGdHnroPhR4MOSYn82hv63pquDY1Pk+eX/Cu/5f4/R/KYp+piexPiHfOY3rdh7OvPz
/V/IzFAeMOAlKYee4LeNQqEOcAhzvwrBWD1U7hS6dF/JTHmApITRFgHzXRTG7oHnfGAzxYEUiAEF
KomEWbww/K/YTFjnUTMtgBwsGcyOh/cNvUcNQpctGSC2UBzmOAn5uZt+0hD83rr33z9aNyRmEg4a
ZJuBQ+8nWoFKARZLLF/G879M5z8Q64/7m99bHqzyePlCBqWfl1puIKb0/dUsVqRfATvafHpERz+x
/rf90z/UAh35x+uHdi3VWGZiExLu1ssW2xBFOS04Bu4MWeBjaDdk2x9v9r2X2WvSOrB9MetabBZH
FYVMS3UfNV6o3368PsyfPWnjex77kS1k2KG2CL3YjLhlZxjPzF7PqEDi1KuhXtJArqKPrO/aqx9v
+J0XUntd4FahdpL3G05VKJfjJh+zMWZuhALoxxvcL/RHe/t389xP4D1+I2XWGQ0j5RsAt3I+Fp5m
JG6B1QJ0WeYFOcNjOQIcgOrQywhAJe62qM6n/vDH++NvWwB/CHCv6kcqbaUFaOM8B8ylgatSRKUQ
TT+1Je3mMur0PNlo9DI4hZIDl5uRNA00OwOtiIV51x/1wb+n4/uT+0iCSns7VXwGFSjCY+jxfpJ8
Nj95v+8tvhcVGvBUKKoGvvHeyXeo8U2UQSv6/Hmi3+/6WHRVGOFozzclNeYOwY+pTuvgngN/3vJ7
saEJZt52OZBZ1SCnN3juGFBnq3xe5FF7kaGv5qJtScc3QxOs6wYtwdQnom0a+Uzx96IBWTRWviog
GjQMuv9eiIVFXQeulDxPP3vhgBQe4IRrg7RuvBQXzsCPyN7YYQh+Eju/c3jknvc7hUY0L1yla4Pt
xmsW9NFiSuhI/Vj++0P4hPPLPecPgXqroPeVpU2gVruFqqudNtXssUk6kwPp8bxt9lycsiZTMBki
02EYyXBYi6ZGm7WGYmDTmmFenudqcs+Pu2bqMrpYlbakXF+Vvc/PaynCV897iT1HnstF4RlgR0qC
xWwq10t6qpmHxkvJFYwa/HiX71n8/vtHDp0rmD9QslVpXzF/FNgVnYca91X0vOXpt8s3mfEIlCPS
UXZQl6FiYe/FCvTC85bf8+hxko1USIh0qsACwz3ly8ZAts+Ufs+fR0NrX/lCpcxNJdjAqwXoLSA+
1mdusOfPZRjwLlxA+yG2XX3UQuk/b/pCrvPFsxS0P9QliacORnREGrrcvJHKuYvFaOBPfrz8/Ul/
wp/Fnj/bEEjBYtQytZUD5kla241vaLeG6HgI8lBewlAcFUc/3uw7R1XsebX0PZAnQNmkLWWDORxW
uoRRXtoZPc+fxZ4/L9AVhO5YL6Frp1t25CyByrgYWf+z3HyvlqfUtefSXhca2RnOEzTp2j4pNJXy
wgbrJI71kNlyAxM3vn5XWUV/G2s91z/R3Pcwj9jz8mrR0BdbgUFpKlW1xznM7UhA9mUIsE4Nc8GG
qB6KdYpNLlq7LZdVS5iiggm5a+B3xfhMBe9FA5+JQKoyyFIrgzGhZpYw6FXRnxxGfO+WT6mXfBts
+DQs5r6RDENXa99sVpxNMGyWrWt12IZU+nPtbPOpDdhsDxnMPfHdQimpz4hUqgAmAbpoPxHle0d1
L3CouuDAWBuWtjJzNBYrkIPLMnfPC9piL2xUPRXYL4VM+6CdUz1A+znSVOnbZzka30MBI7SqVVFo
lmoYcHvPIZXuHArs82I234sZHdV1EQQyTGG4FRXxCD2FNRpN791PTtl3vOz+tzyPU5oznedk6VU6
+DkjR4r1PfqwtBg8Lic5aqLajK2NyAqU/sfWro48zyx8L37Qua7gEEGfXygYV4vajjjgjUYWPDNd
8L34sbK17EbRy83YcbwBBgkaTaIJkueZfS9IiAwmm4puWVM36iFdawlzeX1b/CQGfccl+J7vw6+x
8mCB1JAWxNiYwFRlkvmGPPNQ7bk+VD0NzEA0a0qgbgSiE7+tNfsZav2e6HvejEVbs6WCeQQt/XA2
+hoBFuhyXDzz3Oy5c16MQ0t7v6bQU4KJ12kpk4wqlj7LrGzPm2k78XaAebAUuhMMxkNhxNZZbJ4n
+/4gnaoJNP8lmDUYSA4NT5iAECUMMD9P9j1XLlDQI5jRXdMOm2rrwlrHE2fr9ser37vNE/mC7flr
DW3TdcXBnM4Bv4Oys5y2bCjbOh1mKZ75BnsuSyc5AW+ezTAUIforoHqLDWZN+bxynO257FADFILG
1Jw28BuUIxXyMSk8TG/9WD/fOfdsz2XxYKtMrcWYalexE1NZ6P4s1TNF3/NYSNRZWWI6pDBOneG4
58TFMl/KPHme8HtOC91wV0L3nkND0CzH5aCH0zHLqmc61Z7LAj8aTHgshm0/6tld0xmp6pz3SuTP
0z3d89oS2pudnsgCkHBcYQCev/ehr39y8L9j2PtftzzOkLwISqZUNm26KscRdSOJujAcnyn6ntPS
tmAEGlITaD543xPAd3W4ZM8zK93z2bJd+yBw4kH0/+Hs25rsRL23P5FVCoh6q3tv+5zupHO8sZLM
jAfAA4qKn/599lyl+Wd+eYvbqQybXrJgsXgOjEwkj1fuO3U3W+O0MmkTredsQ9OYXEef/QNz/Ry/
3LWB6RwrOWP0vcuawqTC5JyTzjPsTrY2LE4HPFVidEb+nlomL3Vbe3a2qJOtApJKaQuY5zk7jCpl
kmncvPjuVxtcH1F+Dcy+0KSSVqzneKmAXopWkkdjtfgdUf+SkX4Ju2pGAqByaM79evT51rR/mw7I
A69thjh5Oh8aWNVmM2clGpZzFn8NViA0/QZ38jSsYk1tEyznZAr707y332dzzJ6DO2k6zRlAK60x
547j9Z53rcyNJonn6E6eJrQL6jbIMPXMRI8znkeeq6SWfk9UV6LAmwVjGOkZRi6PCIJe+dGD8XUK
liCd/dYMcVKVTABrmrFeS8tUr/OAjsDabGT56fdhnVyN2oroYVc4WatZ3mXdHJ1m0dmz3+jkbXSM
rkZa29iUS0a/RR15mRl98RvazdTZdgov4UvZNsETtsevliSevcIrs/PXj5q1rUqiPlnKbmuAGGri
10FUg98HjZw8Bfgx0FlqTBm0S1uAJviQkCn0W+xXLYNfZ45n4W2c9zQ493L/q7XRZxKre6+AR06W
pqCXAU4S2BLDzkBokLnhuZ1p7bf1Rk6ernVsGsH0UoK/HH5hC/aBHJzHyK/SiJxENZMkoawGU6pB
H6dhT3407Vh5ht1J0iptp2RttSmB6wE8Vo2YuvjTy+t1kN9cDq7ggV+/adZz1o6BWkrQgrPHdK6j
RxlU42e/z+qkKFnIoiEHiOXYVE0OYN6XJG09P6mTowcbsq5qhCl1vNI8Svevckqf/ebt5Cjb2L61
FGMH3fzKjH2M2fzoNXToZOiwVVW90Ho5hxVoG0FXPbRH6NkfcAnHUTSOyRGQACjs7J2yyddUW+m3
tYROigYN6nQ9ICay6V+GergALuy3k19JdL8uQjZulu5o4J+HY73RG7lnsd8JGjqJOVqQWoYRdzsO
aGo67GWvK79n1tBJy1Yue2MMJj2qj8dqii755LdCnJSUWafHQ+Ajskb80Dsw3Qf326dAL3wTaDOt
YrcbX0o7d9HrYRdSdobOJ7+JOxlJ+2q/kpaXcg4AJSC9uMmq7Ivf2E5GCtnOMZiHAcDIqG6DkH9n
GfU72CDF8zYsWNjTJEMcyU3Ld2C6GUD+WbJ6JQ7YJW9HT2dgWlm8BueJf9DDKUUX2ycmLHMysqmb
iU2NXUqTAswB/sSYRxN/9RvcyckN713W9tV8jprxZpN4259ot3itFFD53oZEG9DHAonBUxk/UzP+
bJnVnlFx8jJjMVhwaTaftaLPoE/8BF3Jd2wnNaOtTSjdI7SNCQ0fTFp3dxPbuWdUnOxsZrZK1LNY
KPHBwQTqPkreeBVYLHNyc88M20SGzN+pXboCJEo+nAgqoNZra2GZk6DjpliFt5qlrNn4PdjWz3h8
+Oi1FF2w1kppqAGRD87G1PFpMqLNaUoSrzoCDSFnLYKphX70jonv+zO4k3f7Cmys38ydDO1UErKk
oXOZCvooATg8Q82Q+EU8dTLU1BqYS7MuEGiQLyyQRacbryKFpW5+xkFvwWqYS0JiUJ1UpAswD/7x
C4qToBYvCnOqFpAhJf9az/tdm8Qf/IZ28nPXC3ik5MpoAyUkl0MyXXrV+cEwmAusGuKtz1ZghUo8
IR2n/hjAtJj/hDG4/vX/txBnqZOgZiSzaKJNlwOwNsBmGx3cg0hk3/tFxknPLaDYFZnBF13tXzMq
uH1Of3gN7aKpFhw8zciHuRS8fr+P422olN86dIFUEBERvJNMl8c6NWfQE8kpkP1Pv3k7ydmCfDnr
XYD13YyFYPZJpX8qO6958puP6UKmtgD94HVMdNmoNYbgQcK7x4mPe751xNjCb/5OksYg4vagEutS
tvSbbNjnYBSvfkM7KboD8Sh5Ak4qIdCNWGfQhqIVbAa/0Z0srQnYp5oSTJxFn9Ua9DkLxk9+Y7tn
KAgEQoOjUsakZRB5osayvE9lI05+P+DkKWvqOjWpxJLcg5dWkVdwZv6Agv6PLSBxclS28YQLM4au
bPayhO27inKvZyjoer095GRqKzWtVpe0UqQMUrK8RPXWeiF9mYuPIskaxmuLlViFh82tnkrKPNFp
zMVDqb0KFrCaddmvYIqGa3KZttqvOwzWw9u4LJoZwzKEHNvj/WrJvYx3vxziTnpCyEqabqp1mVR1
nyeHvc906/duxlykU4ZVAq0mocsIemE0mh50uHjO28lO3eJ1gm/BVM48/dxG+kWKyesSx64qgr/e
86udKVGPnS45IgMSeA3JEatSv/2QO5m50G4KuiGb8G7TTIUm4sUE2UevrHehSGGIexZEBqaybqnq
8g2NirMJA+4XGBeK1IFQdaydRd5kVhWp4fy9bMPD74u6UKS1i3kFrN1UHtlVHWxmTzhJ/V7PmQtD
MkGfQhRgwHIZMgbeWJ9aMTd5moH35RV7F28ELHCY1eCRlnXdbEnRo3kGnjib/N4RmAs3ssKYVCto
OaTBLKZi3Ub1j8mSzfPSGF+3+18e5iJFQrZlwVjqxs4nVfMuR4Tii190nHRNEqggQJdmLI3kpAg5
QOwUt9/cb3QnYxcJBN4MqZhyZkm95NFBBMSP9r72HN/J2b3VXG87YjM03ZC3i/q4Q3zHb+7ucUqG
TQWJQdz7FDz8OZwvmxyaG6/RXbzRSldqRwkmcFfFx+dwqOobeGeMwi8wLuCIYp+MoSMxlllfTfMl
MSkF77wa+OT5A071i8c4MfTjishTaFxpnX5swDD3u1O7kKMEAhnAGOuxTNjyoa3nl00sH/zi7hyr
dWU3KmU9lUmffesH6D40jP0JW3tNyd/U7S7QaELLPA2MgqyL7tJvCR4VboxQq+eScVJ1CYPdHlAo
KpGpWc4BfckDGyRnv8A4qaptgDd6idHj1ULCIRrvRP8nFNO/JejvAuPk6dTugNelIB2vXNRVjtfi
DptN0u5XWdOsFjdqtNsHo2Z5S2ca8HJpmil+BcUtmZ7R/5v1hyxR/EbgXXK46UTPoDUF5azqqd6n
FMJmB+sm/XGbSGBAA5568X1oIHtVcBSWIIvH6LWfk9Hs5iQjdMkgb0CW/dZMQdqVJNkbdlsN3WaL
KEQ34QuEOzt7iWg3Jyea7BgTci3LcamnDOpBoSSHuShC9uM0r1DC+rYnjFXPC+NB92OO4mkq04Nk
a6l3/L2ncTnicwf1uLTooUktCm6T2tzU0VBnD5AIBS8snA7ygaTZlq+E69uxnfVRhkOW2sum5MpO
q2Z1fF6TjaGFLZuVFbUc1YB6NstskeqWJrkaWh3dbz10cW4ljRZWHoj2Bta+WG+PI1BPul8hvsfC
dT3yrtLV8UFG3ZD4VSHM2TCvQidcGAply7gZ0PUJclLTzG+/cZFe0NG0KCTlWDZcQVROfKiS1m/e
Ls5rxUvMLgnmDenScs7kXRVHfhsZdXbJGKx0G6GDVEL4es+rIBN5JqPBMybO7QO6CJQLPNqVNem6
fBfTP7zTfkUfdfbJDvTWtU/CoTTWjE9gg7U3A12U31ZGnZqm4W1oesLnstaCPTDUr0D+m+Wr11Z2
1Z7+tWLSql7XdYQWokhr80mn04FmPgSYPMPu7JRT30KF58iGMkNTOY9J99ActR/TjLkgrxApDB3O
cSjtMFbqNIRbV+5T2HreclyYV9S30RFQrEgOPen9TObeQAApiMV08gq+C/Va1LRVEJobSjxU/QOd
nLs4mP0YHYykbz/saCACBZ1GaFdASoXlywy9Dugvd+Qfv7k76brG00EhET2WcsqOFGqjE8Ube0qI
HxaDESdjt7GXUbjXKBBgowht6607t23rWSC4eK8x2aruqHGE440GghkmgohGsIV+bTcX7LWFoErH
bT+AVSvlHYfg6lWdRnM/fD8jTtbOHeSmq2HANtyb5K7pafgNd1rr1womTtImu5oONaNeRStrv4Uq
qSmTcEk8F71T3xAqTdZeT6euVVBD36BHZxal/DYcF/IV6Wg3O+7JZQCF078boM3/PpRRfshP5oK+
IAAMJelOQJSIJ2twKzIo94bVtsV/eDv8D14dc4Ff4LZWFZcQzIMyKtWvo2jXoaiSnoynbR6CVxDO
noIgk90JVRw0u+oMl9FLAw2uwe/ru/gwkIKhK9ih/tzs1KQFfAEgQHGVKpR+12gXIMZDeuDOct2Z
qiWq7iFlDN6ZnewSFl5bkwsRO0KjQa+FFDOlEfTI962DSlkn2OpZYEXOkcznQ+ke6lKlNQSw5cN8
Bnr/p9/kndSWi7JLZiCfP+p+Lvaa/nMsse/EncyupwNSqCJRJWrbiyTijpDZrwXwL4Xyl9aLCoKw
3qAgUkJYaS5EwPDUsB3v/YLilMsLBOvrCO4V0G/V6dk0BOKZcet5VLo4sS2Bh2yPL1q2eg9+qG6j
P3WA48Zr7i5QDMpx/cB6iPuj1npK1uNeTrXfK4aLE6t3vDNyPfTlvJPmLpI6hRDxsPkdYi5UbIOe
eboKqkoq0qHOO6jk3TWJ6Ru/NHUBYyzbB8qh+VYmcd8VU5beCBZZv3PAhYzpsa/rKmv7MmPN9jBr
xYpk6daX//1Nr5X9b+7oV137X6vmbBN23aAJVsqDTSj5w7nOIOsWwSyA41bX+9VYLoYstbxKOa2H
MjR0GfMmXrpraoXZ4HcWu44wKmjnac1arM2YfDBL+B5ieZ7L3klZKFksV5XAAZTfGJKYGq38w0S9
1+eFbdXbD9BjMQYCqMBzlOjq/WqD8UPfxH5sJqhqvR1dtn1k4PMir3tw+jIqGpdLG6deQaculmxE
dyGsVC/xGI6uxDClLwGrW8/AOFWzsUtvjW0lEAKQcCpAPpy+HjIbVs/xnbsuBGmqaly0LA+d/EDv
6FElzef/nVTX0/P/JhWsHt5Gna0hXqvBEARpdag6KLea9e+NQqXOb3gnZ1tc3/qmuoZ9TCs0HOf0
Ftp8xmu5U+ivvdkRBtKZ/dCYPDRz0XaKyJhDUsXvhKIupCzjR2LjGf23aFsie+pb4BGKru+71av5
AtWLt9NP160aUdnKEkLJFnY1Yfg8gM/33iv0LqrM8hYdrm0KTnVU78NdB5uqJ9gyxeYPs/+30/Kb
peMCy+C1TXbODZYON7F6N0VRb25asU76gouYIRdo6XEIdcZyHx4Ci1vBA9RoJ/UVtnfsYjg5bhMW
WOjtHrBvQtMxEOKd6uOdFGqabFscdVMdP4YKar2XfsSZC7+Obv9JFWP369gtd7Zt4PVUGQhuH9DA
aPJQtex4bSCV3b2Iq07Fa9+m0LLFhQ0yyqHSW9GEQH4+dZCgPk7413P7SEk1rD/9gu5c0IFrnMiV
kHyuq6h7WjORPZCW1H4HLHUhcUMg4gHdUVGSPfybk+kli+pnv5k7ewzumlYFfBMlPYCzlYTdkmH+
k5DGdSP83VJxdhljAlUf8y7KCZq89FbPh9ygMw7Uw2nDDaG+5RmHWKvfX+LsOdEEJza2xqIMxoCf
mdjk5Rhl/dFvdGfPaWxlcEekAlYHDA5a1fEZZid/itM12L+Lk3NNj8K6NUIbUXJp2g9AVbN3MDrb
v+9dFPyhs/lfP+FsOvBxSmoyTuI871TwE6Sr9dTmq0az/bbdwGj7w6X6Pz65i5oDPKGGcLasz3W7
CHEx8R4BHRbIc6uOlBRAdPt1lagLoqshiqtgoICg9SQA0I1/xkbkeYAlTkIHEBxBI6AXZYTnuIVu
l4VGf9ig/+NLuCC6hALLeYCDexL1lCy3mZzjy5BmePfn9SpDL3QBTa6//ssVMcbYHKYrAWQ6ICQI
rnv9JZsSP2or3Erfjg5Lgqltre7KJIG5CzDXKUSKI7/LCk2cTF5btCKpiZqyZSm7jKtVpzRrve5x
8Dd5O/WQj5GUiaxO0drehRXN2cA9Y+6ksaWhhAsahj4OBk3v6aJa4nU/pC6GzkJ1rZ0zAbfCltwn
MRwJuV8Xj7oYOsAKr0K4MEIcu2266+Z5gYcd/eC1bboQuipOmtXSAIs9qufzOGqI9WeSXfxGd7I0
zISu4jBoy6Sdx3ugXj9PMJvwHPy6w/2SQTVP6mAlpi2lJfJisqW/CSfpB0WlLowusDveU5Ruy7br
ptPYpA9BouezX1yc9Ny7cDIzHbLToli7XwjZPo5aCL+mIkxU30amgdb3JFmfnfp1ehJyKDs9+B3i
LpTONvteqxqFlFzgctGbHl6FMv7Dznv9839zzLpIuhXo/AMMPyTRvA7QaNfFyKEo7Bdz54A9INIz
r8vYgrUEZf2+Hocpr3Sf+QHSIEj9NuiZsuBciDgD0Wo4SJ7CWud+2GHsVnjN30XTGd7DSmyi2Ult
B95sX4AC+ENk/m3V/ibuLpaO8SOCOFXdlJEN6HoftioGwaiGcCgcKfF80MbZAYMBKO3HZ47u2lZM
i4hXyHGO3F4mk4WwaBijmnxXSUzWskppm3h14KmLwtsD6NOHZLlel/RS37Y0TM25mcXcn/zi6hzE
fQsvnjRqktOuG44NynamLxoYuNOffj/gJLtehDnWajRnMzSwzkvZdhoz5tVppq7uF0q2mI5UmXN0
1f3a4glMbZZ44avhwP12SY/JyuZqweCrgXaznNkExyPih/GjsXMaswZWRa3pzZl0EaxrRdTl6Ej8
8Au6k+0D3BtgOVgt55XAXSANAhC4dhb6HT0uCA8mwiJkAV3OA5A1OUxt6yeZ0OWT19xdDB7bxpFG
fFrOQYZXDyZgWtfa2C8wzDmSW71FAx5ilzM0Kslzr3bxg4dH4lcGuQC8I262aYHnJyyguCygXA1F
GFb5qZ7A+P3tepTZQg+axvO5TXZ9iasF+uKB8Htjpy4Ij26EHlIs85luqgHiankFvfpP5tz/cbS5
Yl9mmyCZldj5bBOYjIpQaBjzedYqzMnTWMBvkE6I+qEg17It9p9QN35cQlivvw16cMCSsZLUnGuw
Z+C/08CvmoDK6bfWnTw9QIOo2hWFVTKSH7OiHxQcAXOvsV3oV6PQUh5GZs5tqMN8H0l1rirA6P73
6NdF95tD00V/SbjlEDHQ9MIrGa/PjVGtulhOpL4wPeIU/N8/8x8Lx0WCVSutWNThj4hJGsCUJa4L
GCH6IcGoq/c1NlWyLByj13XfnmCDCPjHYP/ym7qTrqLDdgA8oz6P+2gLWGV2p1lVfgefiwTLRhYu
MLbX51WY9aKalOQQMD78Tj4XCWYV5fzQmz4vzSEv0Sw+HlEXe35SJ12PRrFjQK/nPKZNAifFvSsA
SfWD/eNV/22+9olNliStxnOgAl3AG7TP6Wj9lJvAgH47esWY1BEMJs/tMjUwSVOySCGTf/JaMS4G
zEQWLWddp5eu64/XAw7wn7qw/5Nu/X+kkosCq+i2RQZg5XOsI/BRrgXHSKI/9Qj/a3TnYIXDDdrV
NssuLEDrfA1+DrJ/9QuLc9MVEYlgpjklF+h8VTJfD6ATF1hufvEb3snTSA50OEKdXeJR9QDgdjtv
Hngk+9QvV10E2DinBlX8mF2yOYI7KrmDe51fJeaCvyDENS2WYGjFcPxd8RC9HyCRusgvmEG0MPaC
cfJxlT4SW8QKmM9ufocTcdK0C2WzHHZgJ6hw3fR6fA65n5ogdWFfYQxQEVVwr+SAP3R98MBgJ+u1
VP4P5AsyQo2mPYzYuVFRyUYJ3nWzKfPRb3znsbkfIxgRmiG5MNiZQ0KdzezuStX7k57gNRl/c2i7
eK42ECOD1R2/KPhH3yzVuqqnOQnr+gyealLdwgN4ax6Xo/r/uFz/e1X93Y866ZtYUvVrB2fKBi6J
/V7A1FESGBoLZJ28NNUuZD4NCnY1eU8nnO17Z3Wf3A5y5I264GLdCZXLQ6z2tqlsUH2ncJ8eyz4E
pFXktLPHtuUocsbpQfAoHR/XudoifrsHLJlErg9ZB20e0qylda6XZEQhNHB8Orh3wm7++6gbZeB7
K5JW3dJDQO75ZHGhT+qTndZNF8LSbv8ACbltbfNYwOIHMt+23ec+jzITwM04s5CGFzfRKDik7xV6
lovKwSuQBhOck6H/OBKFi0yXdOk/alT4z9pMbIUbIoOEqUGERAEjYNKWhzU7XJdESOf++4CmbWLy
XUchfPzilNfN175lIvupagOjHxA5j0FfjQXbzn65gvRuxkPZPe8hGjUX29bOkTglIE5W5wNPNjAX
JNU+F1WKlZYVK99srOBzesThfZSuPLu0sYEp7tBM8C+HS0BfJHxc+WMXmjY9hS3daNEksDfu91Sl
p1RBADffp5pPPfCb3dDUpyXDfT8p0CHZ6wEzm3qd5CksCMEbWduyYgnKRuwlXJk7fK2haXOdorKD
410g1cmonnybFsVPmz325KdpD0svox5i8XRokvJPzUSS5IkuFaUPR9Wkpj7JAxwVdsk2E0ER4eCJ
kY9gaKT4XmPbjphcHR5ZbS4hVI1RjalwOMSN5XTffkypageYH65oBt8mYCBlr9Ge7LMtZM/gJFan
wVUGUhrZbwFYLAdAW1DQScxqzhbfchhuSYxGGrnlok+bXHABt3nR9MXA9w2O9U1sg3m9VpbrfB+a
WZw3jT3qiQ+16V73ndRXY1YzEHPpaDzvxVA3jEAltrHyhHtNk35NF9oP99l+4OLXxKHZdb6NC5r5
eZbGCUEFtSyU0iKLKe1eIpFqfoHAitjve7JF6GqHC7TVDjwzL2sN7lZoZ5hkqoZDZC2U5geRATgz
ek3Y+CGJVZSemgpmjz9w90klkkaxYT3N8Bien4QJa/4KeNakLp1NQBPKhnCI7444IOIhajZx/NX2
cjBgzOhgYE8TkrY592Njye2oom763AQqDQm2N1HzOE8Uy8ancFlE9IN1VZXavKozVZfbtq7xXahb
NnyBJydsx6F5H4KNXm80yiDtHHP5s1o2+Hrm8O5Mf8QULuqfwS4/mgKvSzi7wPMY7CNQfXOK/xnW
qD+HTq/HrYIVqX0VRxhFxdggk352DMv8phbkeFqysL6EZEq7d6k2CT+HaTs27yd4Rh/PGwgeBMaM
BLoBcEiHEjHs5Lel7/8ReLlp7js+UVvCPl1W5USySN+bKYOJe8coI19TTlj2V7SJ6gkU8uAOz0jH
T1BbFGwZ4/pUQyAoOO3tkW538JBYjxuIB9EvMmsZzE4lmI4viW1k/xTVVRvdbkNr7DmYmm6/yawO
eZnwXYSfQ16J6n0zZfVYjHYJoInYhdkMEo3iMPJbjxnW2XN4LOEtHfkoP8K4oxremThLmkvYCHjG
L3u3Yu/c4lQ3F+CnI/04ZSv/KaEJADtxtAy3d80ewve3aoZ9O/N4WHR9CvFatd6LDgLHl6o2I+g1
QbLWr006Z+xWjePI86UKNP/RNFk3FnU/i6XL0z6qQhgdMbrfzlLBfnPZSBiclrknUd7LYxu/0iXD
DE5xWEeQM9wxizaoZw0D1mDuz/1VkieHoN0hnqYNxLRzPOrtGwktvEoDXO+gywkrCP6Icqn+u0IK
J0UnG6IKrrZ4+AxL5DiGwJFSkDzLqTiO9hbmynp7tfCn01XeTEuyY78/xm0Y8m7BMb3l6Hiv88/N
rDT+BAsOjQNBQK0mey8xyvVDjovRZ5g44qXz3G9ExTm4n31cyizKxHmFb7G0eR0t6XG/7XONrsUO
G6vsBnb0qBHBZGua2xkua0F+6LYNPvBYaHJqGDfBaYbDKGzg7XF0n3R40O5mXY4tK40aguo0baSy
DxRmOc9hNHftB3SOiBV5K+WSXaAaXy93mcAN5smiJZZemGhx3i1VFU/AebNmf1B12IliOHS0FGzU
SQDegp6rdgN77pij90soFMgYPVuW53YPE3Iz4Mm4exqgdNdO+WoZDHSgK55Pm86i24hm8/Iunqeg
/07aPZUPXNIZa6xvlGz+ojI9sBIUJNvm81Cn7XrBX7Z351gJNn/kYm2qu7luO3oLEi2Xj0YTGHyd
sR1JfoIvE63+PiCVDE3zuenim3lo6xrYZjCwsEZS6CjdNd1ix5uxUxSYYQIMcXieR7ge5utie/IB
v5l+gqPysn+TEI0HJz0jzcCKCfKLdRFgf6pgJj7uHzrCF3qTZiO4LnHfA6wKG9U0KOxoFljKaRhJ
g0CyJlGBB4W0ecZ04/jdvlkYswY9YXg5aisRmFf40Q79HaC7zYGqqD/2nzg15l5AIzUMo5frSw0N
C9pMyfF4hBmDg7xWh61u0w6fHkKzHO5mDxs25Okd3C9mfRsuTbbc7AvPYPOMzaCBJkCNMM5zvmTI
8hB6dfVh6mJq4Sz+QrNdZjlc01J+SZjC/pYLunX6XbhE6fT90PPIOng+r3t8axkN9yeG1d986eYd
FjT4I+lQvRNoh23vU4Eg3h2k0/uppyZebnD+B2ON4BK1nrcjSbYaxdMyHPiYul4v6yYC9TGJ7KKe
V8RsvZs6wELfdXBdbwvWNcP8ZR8TEn9VBC7fKodC2NVNOZJU1n/10EwNn6Faz7LvA5RXxLdJToLg
fgVBRFqojnTJjUqW2aJ+a8KUD/kUGIujUO44PlDtQTKWB/GanGaINAwwshZJ8AOq8pYVIQ717vYw
k3hNDNb3GT7AkhftfqDnqpKefY4JcBEFtWnVFbiLsgSOiENiSiKTmK8w0w3V9DQ2UwPKcQT5zsuY
dXJ4pGrcAplzMLC+d8O07Jc4atn6LupDDf1dvLNmryztt+aySjjlPE+koV/SGS4vp5lVaAWkbbDw
J9uPVXIJdbeRd3h/ov17KZL5uI+6fhqwYTLkBmDxAKqlpYCIqn6slMzGvUgZq58tkC9BsfNWre/n
Y5tAiAbvFW7CkDGsRJHAwXt8J2b0mPJG1XI6UwterbyAohad04r2/UmHFcGXaBsZPTIzXp1c+Xwt
flJAK5u6yNI1JidlpjAyuTh2+7lLJVST8kOBtfg6gtxGP9UzHx50b1BxFU3dBUXUQRXOFtjd1zzZ
OF0+EwPZg5uabyPO+2QPUaZTEHjHJbeUBcttiymEL2bol6QgMZ9OwjamL8WOVP8ah3pbLyQRMoIz
iYbkWcRamp6oBDw4n2l0XDIcRtuS67jqZrh4sybrC8VVIh/EXNl3qb0aoB76oPdzml5N1OFgs+MY
Rclx0gfDtr/JNahvBe/j5dXIKlrf99pEBd5IJvLNympbi2pr2A3KNbhmCrBoBnTac713zU2zjBDW
YOBV47ClxXEs2Qh/8gC1L9y7yU2NeuDzphKYxENKSeU866a5aCLCa2i2jiQfBtbxu3Sr7V8M7J/u
kSB1VHl085E9TgHRz+EGiVdcgejyUPOUHKidIqaf12AEbHfZk4KDRv6I9xyQtWFeSqFGDhryo9Up
+ThsQX0WpOMiV2pf7lchs3f1BgX9k8AyLuLdbAVpqvaGMZY9GF7buzra5TfYpncfMip10Yb8RcZa
fYy7rM/yOhxnwE6MFGLK97DNtjmvUe3ai4VVnb3hK6k/8Wgf75bOptkJy5kX6jDHful1F99ZwBfZ
xy1Ikw+13IBaOJGlT4KbSiXrJvMKKzcFTd424V/tUtnlYxxzDlfvVu0poJzRutlTe9UDuJV2PyCb
kurIjnDWnaaZ4B7T0qE71XyN/h9nX9YkKY6l+1fa6nnUAxICNDbVD4DvsW8ZGS9YxpKIXSCBBL/+
fh7T905VWFfXtbLul6zI8HTH4eic823kOPsB1NiQlVrvOCLrXFxp4rTZztD5e09riEz1VCzBbE5T
oHjxgs61HTbcUEL3qlRlcFG5uUHYa9HNTWJ9NcZPbGqUdz2wiakNbBqWDpYEOpSHnsyi+U4ksoSr
lC9I+848XUmTTLxEKyrMFJXp2KBHsUnOCGNNsvBlKt9czNlwMTvEz78ilMqiHZIm5ri7GzxbXCUV
BEPVBi46Od2NcVNWt87H7L/pu4C1WxOh7mSYaIroMJzpd5shaim7hqim4ifwZ5mf+cJxcfAhm3I/
S5Cx2+tJm1h56SKKWR71oJkXJjAUiQGPrhVtlluMxhHFFAzK5nrSutGoC7KLrH+pWjyS9zWGVfu9
5rU4BD0gMqZbG333NavJSwuAFWOy6zkSF7GElinuDjRLST7NqO56nFw2t8UYfwuh6TdPsUVtf9Z6
ELTKeDQQnFd5x8l8H9q1ckVCKI1YYkw+tqnIWUOv9Bq75WcAuX/zPpZQs23iCrGFd0sjnYDhAO/H
G2Q889ptuhnurjtREtrfhHjKUBE9Ng4xypN0EZaFsoOseV8xT9o9q2XttVmwjmgBkiYMwwI28D3m
D3R81ZAuszr3IohxMfa2MuNY2J2oi3p8ajTp521fESMOWouJ4xtbhR2zgTZufqkFhxYplLXQL8bW
w7xVhdeSVNSTfyqHIg/TAUC4uViqKijwlUQlxIAaW/Z0VPOApnQIYSfzNK1wyYVAesgv+oIOO5u7
+G5gdDHoDvi6quulaZpkRDZoAlFYMTHki8VVv11szJe0QJzqdFiZxoAmxRQl2tieqMRMxurbyLeR
/Dkj2iTerLXnySy053M1KTQyJvY52uyLEtZcuOuY37JjXiGf9aSKpf8mYlyEjBkT+E3ilaA8POlm
rQi61MUjO7fivt6hD/Cjo8ERUP2wlpU7jAC++N7D4jySKReFV96pmUsJS2i/DcspwU3GWRqjqi6Y
5giEc2sk/fIqrqy3piMe+Mfa5+2mycuww6OWT8fewwbjEvsKxm/izoX10c6jeMUm5hmth6EhIlVC
UMB7ZMTQu44W+Qv8LKoyK1oUxbIa60tjPHRmKwxG7KGJYpmqdUHgCGQd3r6MRtZcDobp5nLMJ32a
lOqrHwiINh9kqLXO3ETwNQYueqqn4Azu1DHOdhfYpxC9hMmKdUCvDl6TcUljo3YLsbIIk0rZAr0B
oMoZYXexw74WlVBjv2OqKwuVCRIY4/OmB8Lv8alGM5ZQDgb6Aat0oS/YEA/khkUg8YEUFHXFfJjD
ojANvpRp8TQU3XlVbpzH4iraVHFY3hYDsuE3PtQrw08303pOicTm6gVeDUjDHXmsg00n6UJxa5b0
fiwxj+yWrtIJrVBAVTJPI1LsCjrJt5i3mj4xO8k5XVrtY9qJgmZ2STXHDfleln7+Gp9bk33soDJ/
XEL1YerGBGh3xeCjmW2DetoLZILEqQjH9qPneGSTGJEdKWJBvGDTiCD+XP7VbMVFWOIN/C3zAKMM
QtW3jkY2elYFEdAflyLHZpCIFs5IWsGiIENT0tojD/v+rWkc81HnAll1T3BqE1VKR2nZvjLB8o7R
uVhPY0Pzj1Y2q+DI/15metFKGwyPJPdC/uEjMoO/Y7SU2IxUBb8Q/VijdnhySWnhD/ZmFHmkoOsA
thQUYeHdlCQMsc1G6+GduIWh6FbMY0gzZ1aPbeZw1nPStJO7hyeyH3xTo5hvCQn0tziP/EdwP8y6
63OIgPakx2DsmtbNmzCIYei7VrP6hmtenzq/Bq0trBDADY+ToD/0Uogh5aprbaJIXj9DqeuSgUO8
pVRgw9PoFLmJQusuQ7HKeNvnsF7YNHxxuwGxEjtfNd4hQCYzal7H9JMUBV+uVdFDPTzP8PtJ+DDl
5t5OsHh9gYEIhjO92EA+YzXMoiScF1wHaqsKZUEwn/XoOCLoj2PPPEoXoklkWCUUBbqMihPYw0Yr
yUbQ4PmGxwX2Jhbx6sgpica13FHlqSfYr1f1HY17iMAdEhjuSryRhJWzr6YUZXsxNhmxG2PXqpZR
kDKFt/PY97ntt9WQVzKlQaTs65nreui7pm1PLorWBv9GTfRd7Qe2uWZFZNGwLSXbxrEi/R4Uysje
YhXdbVAmum47cl7pjMq58UGXQzDsprceigj8MY74LrCOyBXvFcZtC9LyvCzmThNZzWnHJ785EjK3
6w72Y+s74YhNShpEQ56KtXd4fPIYl6O23qYWwZQOg7FH1vtoOGXZnRYl+R3YywMUAvB3xJ4DRg0s
iPJnsoJOvo2hkFkesWdyMw4i7fnvJh4LGiEDp16xHtDNpLpDB4SifJHroNsU3xQE73Et0ZmjYjZz
m8ohV/Avh3mRuIRFWhylwoZqOrg+GOJdhAxwRKPmcxiXCeGwPdxawc4PIanmokC64oCJCcWnzqpV
C3swEGWIhPbONHiMgXd9TDg784MajVdkMxy1PTAxWxr4T32ADi2brRhlGgVzCK2PCZf6qQxhU5N5
8JsvnxssNIKk7SYpHz23onoUhIT+MYz8lqetoA3NemzD5rTvZqy2EoigXJFVEBd614EaxvgWgSDl
nCxwgVabacl5nyx0DdDBCOWbNzIiVSHhkHqIW2TZzNFOLspGbyE+lP2m0aCGF1z7TZQGTVTTm6aw
HkyTFYYCWeq2vVsg4K+3tNJeuyQcYvsZC0zZrQUGdYOVA25qh6YQGe35gGBtofNL2XvlevADz3WX
QmFPm4SKWfilKzl+eJyV8oqueQdeUu7V3X6KZ0JvoJuMQjxTI1st8J9uUVvkN9pxC6abalOgKnx6
7WyrCQISVxMfSIN1yrPXtOdvKMTgk/mjUBXEqBjA2qsJ+8M6hb7C6CmBF4tPT15IOYZLbki3L8Gz
mF8tXYTO8jDMzc6iXtts5ErVm4axeMgoEmlMnQxju8gtpsFGnPIA9msgXzbneDCkpfVZJUvhjrnx
ojiFTqQQPIMTg4cHqsxb4NmAQvviGM6OrehZjAr2WBL0QOsH9HYJ9rB+nUAwulbZgNug2QZu8oeP
qOR1QzA7+IFhyLuFiclPVbcN9Fw1EDKDw7RFnxikpBnFLqSKLu5Q+zGLn+AZ3ZoLi9HeKXzwMqgC
9CCO9dc8Khv3jeDTCJJI37B+2p7drDGQzvE6B1fTeYI+5aSvHZov8GVhMLXkRXG9tL7GsDJOLMQD
HtTYWUUpsBaOadXTrejeygXTNbh9S9R6H6OZyYBmIOIYmHoDbeOMtJp+PGrRT/E1R/Eo0CrG1fpe
S6ARL1Vl+3obFEFHLK6uYh2ymMOxvA3Q7uNZpiIK+FahNRo+pAq4jRPjC7g12yiY4gcf+7kS8S/Y
/5tXMQZT/aTI1JObvgDgczufB1U4FixxQ9NoHuBrDNmcGpuDbIF74SYJFNuOEQafcIMcxWk4QQFY
cJuuwJB6TLrlGJVR5vHQxCergCRdoLuOwwu0RYG+75qqHo9RwWx/IBOC2V+Y5+VeGp57tu3Ut2RK
mohactF7cKe6JZOeStQ42NCnAp1xt1mmNh6vSm0gdGm5F80PawNKYxp7GiBPyZoOFjNjQcxbHGqV
PzCrUfw75BtU83okK+K70bLC17A5WFWwBf0UIq5TP3Jm2i99J9h+xJbd7po6XL0nbBU5P5Y1kMBU
eS0IABvoib0xznBvrthtnTdqZDuMlE4pC9uKJHjmLkOllwBYI4c9xtbzQa0etiXxgfeEHSCeJWkQ
sRYny+AUz0YZ8WBv3CTWvQoc8TpYulE7Cez0CmSl9ZPwqwvuj1o/cQ1X9Y+oCKb2Ao1tGW0bLidx
by2gmawp4qqAOhGEtJuy65rwlBdNV9/bGBfmtNC41kdvQqTO5Yz3SpFovqz8ppqitji6ahT1Iwa9
Mp9Tb0K3PGRVH7dYWwfwaCu9dMLDrEgK749wURlwwCgW2xp0wLOFcfQdDoae9lMhYIDZblpAQXo6
oAEbcWFNVKnxBud0h8UzyDiA0tC7ieWe4bJDXCW4rNdHoCe52854krdiXaMLDNEhOVGSCzR2oQf3
OnqG8WK686owVLu6igZ+sTY9lNc+XXrz3ZaTgGlFPcE6ZGsK5RaZ+DbkETBOCtKVN+h4TkMsNvRL
O8Oy/qaH7YKm27PVq4+dhuMId4/HVcxVKlpr62xpx3OinNHhFR/zoDsEUPLa/dCpiWXFvKjugmr4
1GBF6gFv7ZcxmrYllvh+QrTvky0wSlNmTVwIjJ1q0AodEmtL9sNFSJE/5WtRuTtYMgQGu3eZj+s7
6zgrXlXde83BY5A6HjxsfYdLuAaM5qGBJTV6m44H7sIPiF5+LgOv1MWyFERjwedonK4C7UiC/fIE
bKXUGmS/wQSXk9dqm5oFwaGHEW+hyqaV0joFNz4EZh4EZ3rtHG8FmM1XzYxk4EfP1oW+HM3qd8cI
sXfr+duOcmgdhFmQDK+joHrFmo+wrOIxURpmrZhnUt3hbm836KxrHJAopOcx347KXgsyzixdCPFH
PCzxMEIuofj5CgqFdRU6iZGLax3NDYHdQBmV79P5fHyPJtgnQEvOi8PQi8VPPNS75p6NIzV49gre
DiZRsYaqGismBEVF0iu9jFFOQK9hxZBfURkZu0UZhRfi3HTl/GEqp9xFv0Yt/za6KQwwvAzVdFyW
aHXf4qhV8/XZw5HtdTvlSQuzmyFBN1qcl+XKzThzAWDexMsioqOWUBpcAShpIXhHb7xitTXU2Fpx
BFcG3PyAcHWIEwiLqN24UNXY2o2DvANNwkdHNCOU+a4CsxHnIjI24N0o5jgXT5HyBJjmnQc8a951
+Tj0Jimh9wuSPgaPgKXAvsfpA4ukAstbLGw88wPbirUkSWjQvlYJR5U12CE2PdQeCUzqMXduHeSh
CAfqXBDK71BYL9OYTBYhNsOunQ0vq9QO8A9HH+qFjvvZyCSoHNl/6NHAnpfweAekipnUAyNIJyQ2
Q57CKJk9Mvw2Oc1WFuog5Hn3W2D8dupcM4P8uqd63GBbsE4gWZOcHP4jn5znFh00exh1O5d5YdVP
ybpIfg3AqpuyMIf4+68xmL46C4VL0LV9p5uNJ56r4CGc/xql66uhEG/YDLgGr8vKuxhLi5L/RQnN
19C5Hm6NIi+jaItj0sMSSczepUa11n+i4f0DwypABr9nR2IVRg0YaUAmCJ6/QfalObWW9PBA1KPC
wonOFWIBIjHQG6exusWAVREv7YnD9/TvKVRnVtG/Yht9IZYVgGhcScZo2yPNtMlKiFouQR4cUvRr
gB+BxcV/4jTwR2SqL1zQcdC41cAp3sIQYIjuzdLnU6YK9LmZxckEd1LYPzToSt3S/ckV/gOS5Vd3
ogr8MJwmlG/DGJkcBrYzmwG75j/5QH/06l/YZwqJfjqSgoM50r7Wo/9kY5X/CV38j177Cz0UbfrQ
qiLn2wWxH4kcl0M5NewvvvgXhpnxfdP1U8i32EFvAKSWSe5j8/jvb6g/eudf6KG5m0vDRRluC49o
nOlznvgSp/9fe/Xzv/obFSetFQM7CNeFri28eY1AyuTa3//7F/+DO/SrNVE4+q1VrsLtIiNB3zV2
Sjb1woUiVyimrUrUBDb2HiInrv5SPB/7alMk48JG8GzhW8Sh8m/BMOqrysd69d9/oM/i+i+e7q8m
RVG1MKyFimDbxkJiAy26xQJcwf8+Ft+ETwE6b/yXLvC7cFeq6qFaywcfdxrf57qcJGaVQm6Qzvju
Zobo5sREaMn+593955v7r+Kjv/mf96H/8d/481uvMOwX0nz54z8e+hb//+/z7/y/v/P73/jH7qO/
+tF+6K9/6Xe/g9f957+b/TA/fveHDfpys9xOH+Ny96Gnxny+Pt7h+W/+//7wbx+fr/KwqI9ff/nx
3pZdhqFnLN/ML//80eH911+wOThT3f/zt//CP398/gi//rIv2x9v8kfzt5vxx/uHlv/ilz9+aPPr
L5H4u+cBlYqooEHsAZj/5W/24/Mn/O84fOPAhzAt8CNx/kmH+FP56y+M/Z1y7oPqiFmAUnrOC9H9
9Pkj7+8M8u9YsNAH0e38o//7Jn/3Rf3vF/e3bmpv+rIz+tdf6Kfi439vrCgATcUXvsdh50hxgH2V
+yBvGASf2MToj3Jcqkgv6NME6bECXYY3rAZGIERSPEHQFO9CYlusG3IDhmWVHyhcVt69ce32YAVh
i0TN9dSKdhe0pnppxhpn0hrinnOmHt4GgyW4AHyGLnMprkiu3R3uabIFIlZg2ijN+A4T+mUHDkd0
hzaptBvpqeAtb3rQbuDkDY4AgeRGTJdlFTSnAN1dNoF7cxhWOJeEJaTsgPe2pRLXIG8OewX+43MI
L+73+gztJRKo4G4k+bRlnQ9GZlMhX7gog/zlEwtZdUUzHiKhbdWw7+eBWHYL9c4Gc8OUFbS5FEsZ
XzNA3JuFVv2+l56fDcsUJnYIAHZMGmw58CA3ogJUAzgwXHY55uo1WfNSPc5r33+UQwlKlkfYcYin
h1V74htddQwsYgiwhIALOa5qDxeEuOzP/i/Y/EWbXGLeTJa2muFKurjU9LR+1gAqjix25tjV9G3M
2/kyr8vyAg2A3pZRrO9B+JUHUBmiFPYo2AQV4Pu+wqWDfKN5EZ+GUgcXRazzV/Tj4K04zcnPeQnN
ZbvE83Nf0fYSXzg+Jzdzkp8ppdwLrizPocWNYt6nCwxeN7kX/3RB3WVhKEH0aUCxPg61AqzWsDfb
2rZI1ibGaAd/H1i5hwEuFOnug5ZW22bNRQY+q/c8g0gF1K4Z9oLPfaam2r9kUuq9opinLYNJOjqA
KKkKwxOwJGd1JkVWJ07yJ4ydNuOl3z4EXmMSNOmA91bJvrtF1fsJ2+90DqL2GkywKkrHWFqs2g1I
ntQCIEI6pK0jir17OG5aLj8oLkmelJ3iV74/VyDxxuBg5N6FMl57AWaxeOcqKB7d7BfoxFn7tDja
HGOZhw+26wZIz5wYLrByhB288uitHhhWE0SQM0M/AHk5GCf1rgN9LUAYTf2pUFswB+nVyhZQTG3o
rqRrJjBMKO7a0hPNI+xJ6JC5EN7ypMU1w6DpZQRUkhdorvoTwd79DnkC0WktVQz40hvByKneh0An
oQ8wUS0REDbl+qRu+ZyMpDjxcakyy2u5c3nZPfrxIq4kPp1JASaviA3GKh4tbVVcmd4rbtjqB5mR
jEk8ZWAWJx04vTvN7Iy4CG9Jp6XyU0yD3Vu8gkoDYi4Z9oSPwXZ0mCPdWN+sU/+mfXeMa3CIiGcz
6hmyBXvsssUIt8dECx6NFz7IT7OsDuTZDlQMEC5Ckv2mVv+zDP627H2Kor5UPeoFKPI+9wWKMErv
b7uQPAJA0WuUA6y8gNzPHNR8oDwwScPt2KkL1/TnPEK6OSOhjWuY3PQYuK8CBFliWZp308mss/2J
bOIp62TXnMTMijYtKamBNbPuuR8gDNQR4p03IZNBuzFguOSJWdb6DuEAeJ7rz2ebSc2CQ4fnArTa
c12wIDosqZ0ZlnagQdV/YrMSfepaf/vZfUYRTirA1YmCEIfPl4EBK/rAi+vC2/m8uBdgbERtze5J
7F68wKs+yVspj4rhIgIXGDxAfMfbeHYKdwOcJSOQS6Gn2vBV9mBlrLnbAd/DVrtq5o+aTaC+tqCb
RIPdB645DGwdXEqn8SUGl6SXyOzinT4CdIjTui7fhsH1Ke6t9sYhHefge2LImqWZjsLX8kgHyFpS
DS+zTT3W7NDNIwtTr/bMBteRgmhUVxnwwHLHhWtv4JMtXvq47l6WGfOeDZvulbZsuuIY0q6aAsxe
aWFG2hugnz0BphK2LL9Z2nK+wx+j7bhia1r5TCKc064I5zXA9mGUt7OTAqQYWnZBY7scCgmoFUO4
ybeFocX9gpXLnNi10Cnetk1ZVcttjXTU3Wh5iF1fs24a5HwbnEFTuQGpdHwywPezggn1VLEKqbfg
3v9EnHaRnX2aTpMFcowlZ4U9cVOE6aQpfyKG02sYjpN7hrXcHh6fiFdaY6//GKrePYWkD584Nq43
Mh9A6aj5fPTW1t8zUHsu8sEb93QGKRlLWDPLOIvQjACt1s4k0eS7W2qtvXW2rZHb1E1Dgk19uZPB
3OEbAQsFuVHj/UQbkXp0hYFx79NXbLXzhx7oqUjz5lGCF8lSpFjAscLAJ/il9ZS9XBk1Fyv6nh3y
8sDPL7DVbhFUuo3DpryI+AISzxjFWI/7gAKSogWHwBtndQHgMb/WxKrbEHD1sHN+sex5GzYZD1i3
GUc7bcS81jeTlf1liEE4kxo4QFswdXRhJG6ljyrSDDnalehAoFCHX+z1QuV9IyawdJt2R4rl0umQ
7Ko4suCsR8CBUKr0uWYVIapXfq5jrPDlbbsS8jM+V7j5XOuAioDZNtIkwLyUYC/Cd+tnYZw+iyQq
RZBN58o5nmsoWOWoM01JVxQCiBJSeq63y7nyunMNHmngjp3tUXMVHZbn7rxOpHZBRff74W6Ohv4E
8v70wm3oZX0TRVmN9Mdt+3kwVOczIjqfFn7jGygyzmfIUNQl2Ud07crUfB5BnlCySAQB6gv/nyF6
WKBjuNbg2eeZO59r5SiZSeIe0PhOe/F4JLNSW30+J6exWrPq8wTtVBG/WlVxHBW4pxnOqVKdVNPO
qKHw9d8De7c76FTAExk/j/TV0/hisT+UWcdBdPYhvgLNUOMrij67huXcQBB0Euu5pYg/m4s6tFUK
x0CeQQASXHloH3OBxLWwlaZL8iaONzmZ3KltfJU1gsCtnXdQBnVtuwPvXmbwl6kO1TRR8MpiGcBg
SgSQ8fQQ+QsQ8i451dWBQVRyWRUt/Sb7MLgymsd33eLnbTJqqbdUjuJjAPXwxjWWv4GkOt+Ueikf
CSy87nNWOg0RwxQdDHYfAJlH4rLWC8rr0BeAkMpSsiuI9af9CL7LJXq6pUTdAC6QoLfnNy0A6qPK
VXtlJnjRJsBNx1c3zs9eqFQmYrLItGYe3wLm9sEAmuVDVOCDV5gaDiPYxjaRVTg/FCLWS6I0ZxtW
B+SGrz07RKEL7sHqCG8cRDMpNsK4PyD9eVD9hM1/7wGeYqRE2nZbyq5L5ByDDHhmBjTCVRpgTFds
QqDLezSW3qsT6/QGf1+Fa7zWZYGGtGBbayGlSkD9igbw+nEZgZBxIAy44mkDyu0Rcqr6ZEEXP4ph
tvu2cu5YRQQjclCOEHkMYXFbFsT77rv4Zi2MewCPsk1dT5pd2eXlUa6+RqJpEIe3UNTULxUL4ejl
eZwlbGzNa8Hn4kUBhN14YNFsICfId/grr4jIyEHYoXxj2i48QTSKm59EQNV75GTcEtCnkw6IlsbK
GV0gtBRhcFPiY+R11aUceQVxD/VGX60fYFMRl5i+BM0NDQDJFHhT2xia6A2HHvO513VwnBc9XQJ6
trgO0bSxJfbHfRXBXZPKGh+gi4cN0FO3gdFfmDQiPAov+Nla8brADHqHA6zBgJT3HTRZPMbTDpwt
6aqhuJMtFDaoPGis89p7AnkvC+u+ffIDRZ+DwZ/2M4iW3yxYFt9y7Y0fNZ73TJAKmapmfemE98RC
cOeTChF9Bx70lzS015UAT9BpN6WTc+GmjnFW4LGSut94sxMsnUQfeqdRBeoACh/O3bzmR7Bc2X41
qtr4I1++lwT3qbcG9OQswTZQhvkbhYBpVyAayaYAldHWr3AwSKyb1tTJ4H2aZA5n6oFsEfpGL+CO
XJ4URCrLaepIfxfC5OtBYn5xaQkOxMdcK7SLDOjIBbiHqDbQkFT3nbKhTkCUw4dq63YbQc60G3vG
0Rpjz4snkYdlFokxxKvO5Q+EYgdgeqnxSEugbFUM1g/oqvnBgvAHLpA1YJMFagGJDt6IAcaR6zrU
EkrdaN1YeALuVA5gg0KCB1p9vRycEHRXcvz7zmui5xadYLnJ10VcAqteIK1m/Zb5U/Qih9JHGnIJ
mibMS6akbRY8tePihRhDZQXopdeHqtHfRT5drpH387y/2Mx+7v8Axh1diyHH8ageYF0fQMWBzcwd
Lcal3dmyXN8rSH8TJuOn1sBHnMAhPltp52eg8VkwZgadLJK5HXDJKitd4z2Zwg08gQmhzIZxHlGS
ZrDsAqpuFbATyLY8gfsbWnDzgPXE+gAii0JsMVyYgPXyC6+Wak56fOabpuvpJVjOeULyIrxkQUFv
Jwt3pSwwI0IcRCTIPcdRfcP8zv4M6tdcI87aKhci8GmV4TUBprAfyxptEekuwTZIAm8Is1E3sJAB
5L0Dq3FAFaGYMRzkRS1/X0IwFMAF6UBcIkvTpVZEfqbm/MLYar1CQ3gydL6CYvA5rl/69W4BOZ8G
xk+GjlY/K15c1XUL4s+ovNuI58N33F84vMLFXIMlWJwa8E+eEXwF7UYJ1JanBOfsTuCJ/r5ybR/D
VrDvIJXwb6CODSmg2+CgiVcdcRJARd/kJI1l5QOtbdpNRwAbVlVxMGNVJgIIfwLZprwtKxXeLdA8
vXCpVkBARXsAuz5P1yqEV3tX82YfxyNfcZ5GDm6R6HpVB1ZTCm8suS8C3h6aM40KViFruhLh7umE
ZElO+nW3NFGwdVFf7YOeY5CV6GTBy182c+m7PXpI0MCDPoaId2RefsObTh2CYXJbBMkGoL/78nGE
zGA3U8NTYLjDPg5GsS+aBgvIvgSAWObetMV7oNkAAfVmVqZ6HuaFF4lxYKdh63pXdCiiie7Jup3P
B24MOufO9+vHhixIjIPEbFfnCg1ZLdftFFWY+ZE++yBGcHbWScEnGTUDlI6lgX1D2UNPaBpiwY3X
NZ7AuvNQsGHYAUx6wpOFt9KnRrT4jdmA6rbkHXtaulKnJFijN1V0bC9rVIgcYfOZNuGCR6Vs98ix
wHvuujHx47qCaLBHNbN2sGlR82yZ6vwEK4b8soN3eyfkK8dipqq9Q9HjN2R+QpxnndDasbPX17OB
1xe0wqCiNXxdjtjwdRnahzvM5SkVjcW1hf1SEpK8vZQQEaWthRgHe4J1UzouMSaVEWbzuG5OEiJX
XIIcksex99/Xaa7QMOjup8ytS0A0Lg8xW0g6kNxXYAWa/ghD7PqdNn191kuPZwCV5ncBiPaXHRrt
G8wq5hRA7HzwFhA8Eg7e41NFgjk1Ram+t4DWU6qa/lSBeIf5T1V7Zb147zH4qQfzOFx0rNN7XdpU
ASn2XBU1CbSd63aNKjgDGJ89GoxrN4ZUMunmCFBli92HFF4CP10w0qv61FN+dHq/xLieUyf+D3ln
0hwpk3XpP9SUMbkDyw6ICGLSLKUyN5hyAhxw5vHX9xNVteivrNs+63VbbV6rlFIpCdzvveec537v
W8zLZLhfbD0FRzV76kOapXtqi7K8emRYR8aQ4pTM6il15PzfSWb2f5U4PPfeCgsXu4LlmYFt/ifr
flaajTOu47MwB1STIFvyi6CWzHF9aj/YBR39r1Mu6VsqYc9iFA/mOsqyxngu2YLwU3pb0+1LFx/p
mqsNufY+r2SmQ2wBSB6pGCvbXGMHNpEJpylHnHP+woBwraV/zmFINxj8Z2H8S1v5/3keL+7T8f/7
OP5/6t9Z9/V/HMb/8zP/NYv33X94kkyvCIRtMXm/M5z+PYuX/AkVI1W547t8EAP3f8/ireAflpS+
RzLas3wPNezfk3jL/gc2Six4/HXS5en5fxnE/4eEzCSGL4F1nWmUL4Uv/pM/KlmiM1n0FIduTOf+
NRt9/23zDN1Eog7ko+tlfh8Z9IIHbS71ARqSgsmZiv9mMnYPg/wXIdlz+WdgQKL4E44rHf+f/9L/
TaEzBS+AsQb2vrYwThX+OmJfDJLTRJP0NhZ5cAU3v9so4KsEBy7NROzTfu0ttYiY/ys/GFZRH+si
q+7Xm0nelauKfEies5U4EU/mQKJzwz0Ugc8ZHzKVE/VSrSj2FIX2c9bjb8nht598zHOh0RrMJJe0
TPZGV8yRI7x1r1Nyazgk5k8kDQ/LkhSaom4NLpIgy7oLbPASio9fdyRkrVOXyOWrJosajsp9wMFj
xMCvREkPOjhfEFRKKncInjtAquy5W8z2wrA1zLHC/nScYfttFZ14ux8hRwgV03ko5v4pJ+Cndior
aAvSuf45ULSeRjl1jxnH4dlkQBJJptsHGbjDE/7sJHK1ve5N5ZzLuomR7cn/kiJ7JzlMM6JcsE0u
6uGnNSYMF6Rpv2dsdGY4zOxLaSfZbZNjX9ssNQ58iHlcvERG9Zx1cY8ack05eE6Tf7ecrOVBr+ka
tdzsFxLxOc5LN903c9vsvRGSWTi22jms3iz2CVZ+aG9yeBOtSdeZ107E/I8piZ7Fp7f5CQIi1hMH
ykfc9M7Gt9Y+bcW67ioEgltaFeptZL3yN67O6aBEl8Q2w9ddV9v5vq0byvetm363lfL3sir0s8ua
cDRraYw3tmB35zx1aM+xLwNMubkZFYc2Ln6boUEvBmAH03v0HJWtO7NIrXAzcbdX2sZNjfPdK3Rw
LNhkt+t7ebfXrWUs6cV1shVhj5Wql/0TGHdaLsZiTLpQL4BU5LEzAY5vcG8+NEUxfOZIC0fdDzXG
zZQSQhvGT4/h5d6f9PpQCZqK++qbe4MA8e0OtWjIcd3/S/5OcfYcMcOm3zbicHpnWNN6S92ZWBpj
smeTDMXTWE3Lo9kYW9hi74zmDcgQrcJdlSDEVo3bsUmH4bkshTyWpbs9c2OTZNuMPERJQsLAl/RU
rLl+RMZL946diz1RUnmCDuKGImsJaGrTDidvaOJ6bpqPUjt0gfeOVpdcOjqo/jp4i/bWHFRvUEnw
wWJJi/g72OiQtTKm69uuC+HeE5IPiqBOGYDrNWBRS8VNWBlBsO9S0w8XYuFRlzp53BE52Rfpai5s
MqpNXGyUrYfRIWbMEcFAhYJNRkaz0Gvqaq1ihTZ9XjMv2Y3OIh+hBjgv04JKr/uHpdm2YzDV4ubX
7npUpZ4iXO3WLfWzx4BDZm/7LtpeFZYZkfPUZAw/WU7+a6277G+V0soGJSYbi00W15Ug4+PmOe1n
yqkfE0WU526amptmbnva9CQOBkLrY88/O2xRAKlZXefLbvz8LNUg4mEex1+dW7YvnMw+2aa6+2G3
o6IPUgmuWuZQYYMdVeN9T2Vx8l0R4j3o7omicVyPYmurOSLni6u9b9rxkGTFfBB94DcP7NedNTO1
VN1G2nzKREMdVIq/L6t98msJm1RCi+ZziOzWdICujROTOcuZZTTlyQdZ4OTRZZazhbYIantHIpnf
c4AfifS45Y/PJPho+G2z7z76ttnCwkrSR3ZlV2cuP6RChwwqZ9p67NdRn+e1yr43lp6m0Ke5BJQy
kZZYnKA4IA9rWihikc41a5gAoDgk7t5pgj8r5JcUlUa3+3kc9NknIv7p5gTyN3XXbCdA/eSwPHnU
JCw20C1B8zevi7WhU+6Gv17v97tk2obPCqxQ3Mj6UWfGt3aZ+1gbpgUgB1yKTz9BI1RaQXXPIAy8
/5v7nSiBZLl1ltafYLtLGAlIKoHJnDeZSUWtVaVPmZ3MZfQvABAmu/IJWMtkHatkdpeTVOsUXJsK
8MEfaYh+fLFU5b7CiXaWw9AYzVfPq/CVJLb+qMvMuMH80dkuqbmgmX3w1apgm98bddfwjDZxP9Jp
+iyqwLisvliSi+mSxJekMmUoBmzA/2IJsajFOeMMd17+BRRikQ2+8XyVfxmGiBeuQnbzUAiX6nno
+/pEZDV/HfFevWYWnKSINJYtHqYqaP+mFVHUfZZ78ptuF+cXqcX1NOAJPa75JC9ynfw/QeVZDD5s
U8WGb4lrolw4W0Y7t68sHJI3vfBThUTuHSerdXdub7TypUhk+71yZfviclq/rlXbxnDFpkPap3ix
iAr5coeqttycLXFiV+Tp3uupXf7Jfh2m2fvoM7P0H3uWNqjzVLwYODIvEAr6nQsDZ28WddKECo60
+a0Ouvz7LNRo77omxxBZleng7PN6FD8k4Rj9qAgy1Psh15va9SAd9qVldLR/wGaeLe3UHLdG+pzN
Yv4su8Z6d4zZea0Hq7qLSBiNnKV+TEojfdcyIHsM3RFX9MRfQa01K7IU3RSVSz4D2LGHi+W5eOYZ
vT6LlUWQFuT2UM9b/Yct5DZCmGHcc2vJ9N4tllZRoVokB6mL5WEtKnvYb8Qfnd12t7Sys7xeYmXN
YzSn6Snp6wX93Zijuluzb6ld9TfvrhoaWWaFunKdcOIHHEKTiu2KAC19vX9CTtsexwHmR9cGPeBk
krDUYv5xWeC5cKgWFckDNqIOy6VJtOGCDiMHFns9OdJzXyvELLMF8GWTL8EahEpN90236Tfc78dA
edYTC7O3+/yTR2GrZR+qzule+KyDUGt+JILMxnOEj0iWpneZ037dZ/WaVpHuu/6zSeS2S5RYCU3b
LJ+AdcF15MBcaYWxqy2PvVD1lj5O2yoOg8sz6madf5VgfHZ52sEGcXeN+yczT0unP7GrfyUCod9h
QaP32U2zY4dYqknYwL35SX1ZHwZLNPiIl3X6ZmRr+1R2uWLunZRFVLrSf7inLJiD/HPo1RfBkbkb
g+0iKI8qITGg0lQeBauSI0xTEPMBp2ShT9JsZ41Vs18S01pRgEy7Ptf1Jkj7VfBeRWZ0u8kp1SUv
guJtGpNsZ5NrOGIiLE8KeNTTlGUOeYmmXv9MdkXgKa1n9c0fgiTShkANCVgU7zBic2QTzuT7qn1d
+TYEF92bjB/ERI76X1guxp95qPJmhjeUVGksltk9QT5rDrLt9FWTKnugX25t6tviY6kzxz5P6WRE
ara8JA6SpC1j5St99W2foIC1iZhveQ7vWf94cibr59inzpM72z11db+ar5w2GbyKjFxBlC3sn+iG
ZF9NyXQu2D/fFf7BgSyBIl6xSDzR6ZV5M+nWsTS+tjkZ+iPhW+PsK/XFNuSA1L+XGQjEdvln1F76
WHAqcvsP+EE6nNMMANZkjQrX1DevREHrjcn8aEAkPHHBtZfanN1LEBjEQFw4YS6xB8hHdfJXMMje
F5bjPS4itymgvZF88gx8BvqQ8WHIjTNkXZJkCYNGm8eiqfq9V4r2ZZulm2BGsp2HLjGDMA+25UvA
rXpeOcWPNiIERnWgSJWly3As+z+diyOfRGobecJquDlThp1isyJhzQ9JR1GQz87F4Te0V2vh7Sdp
1oDvPHcvuWjIuLVqX+WJd4NhlX1YY/fQgtI5EFTqjzgMkDV6mptrJ9LiAiOG6Q884TEmQk/hlmb2
yXTFek8okYwt9aWsy3dpV3+MxH8cJh8zh5UVYbsUmJ4yPZ+M3OdmYk1i7Xl348ewPZZtW6FXduNj
TfVFpClJ2UJeZDGG2vnsWT8LSO8DSfRD4RQYeJc1dgw3o5fCU7Nm+FEsLiSgNunKWAjCUMxMdg0T
Gwx6dlpycc5WCdMkvRQbzqbUS62L9kn9FwpmYbg1Am3OmqCvLNVvn33H1q6f5jfWflFE67QOpb82
odkWOcaLqXhOVyrapEvdiz+M7rNrVf55MptpP1iI5J7hw9Pjbb+M6x1O5dSdRQmqzftjKEJv5dEw
lq6MarHECUSCI+gF/CYD0vMcWT4StDfxTOOv0KKMqDryMxE6FXa2Wi6dLcxoRVmhz6rr8WR5lXVQ
hsLw4QrSFlXRuaySWWIXc1lrUkNs7uSHwkaJSKUqT8lWcf5NE7/qpKmNMKtWyBPgAC4ZLrRPE9vQ
EcqK9Q3YiBsGbVqem2UbI8uw0ltpCBheczDF26TsHyhFzrf7gOmFClidBqjZH4VO6pOjG+PFmkbx
UmxtwVkpoE24usuu3aCyW8b+6r1J0fbLYhHcybcah7H6UP92Mub+hjtcl1Zd4DIz3zQRyRbuPmdl
hlyIcMyNN0IcRIfWSaJFBn3MjN07LfYY3GY5B6/Qf4ZI49UKa4sCdvK0s4cr40cMDK9mxkJoK68j
idElc1y6SLN6UdNSUCfo7gtbrBtVcKtCAD3GqXfsmPyfcWbEyKgcCQYQ3dCfvaB4EcQXha8RCtzu
oba/teZyG8HRbPC37UF+L7L5Uc+mFYOoeyWUfkgNcqRVh1Jp3a8lmeKIJtJKafitS4PPqgqAPuZf
HYMNlHuW2Ke+JkCyjFUcDKixXDP66hazzXPc1afALy6+yCpYVe52kR1rDT3hl3FV+Ed3LeqwIKsZ
J6a+Q9PK9Mg2+FfTwYftr3oKbbL80UZAseDhqOXJFDRXGI+LXw6+QSJ9HlP7fNYyUiNnJOC3OKuV
E4mhNI+QAJNDXXjJZSmBNRDR7+MAPmOy063yrnnKknl/8aKNRNaJdVuopN7JGrMLUme8OTBZGisX
703jDVfT9Zx3zJIIid00BDDFWVx0LKoK63WRrGg6vhrFYevz5sNA5Yp8hxZlk/i+qy1oLsRsp1co
OU8FGq9aBR9PfpFI0hmZ/49eRHeritWodqlvEjH0gRc2PrqShSBHrX9SWL3C1lmKyC669bbZQCOk
Z5u/HL4/QDhjMaB2LO7naPjtaSKgiw1Ii0MC6Y08TrDrU+b/U7uYBxx74egkJmde/elIw3yZQBjR
4SzB+lyZWGV3viG7wyCIuc2sn9/Ns8mPnpwdgcw52M8GVLxd04lrRZomko2crx7bEK+TU9/SHNfe
Zv2BWZjhR/fOQfC6mAVpCueJhaKnash/zun4Z0076ezMpqYQt9ulZIyetnFvdfWBa9MIZ5YsRso2
zH1tVPPDWEzQ1jwjj7m54sISseX1hCWmiNE6sMGgQuapeaG8as9t+0fO9oOhRXDsvS0WhnURIBF3
1FqHdpq+j/acduHiOMWp5Tp47SxzfXCS7Pvo2PA9auPDyQPxiMI+fLExqon5851GvmLo0bUnp6Ub
o0QxXhF3b7XDliO1mEi0jby2NsQ/JexPDvCUyGArPhynsiKDMHjkr9ZH5UnoRNLvwg0XFTV02DUF
BlDC6WZv7yauZvQtGFwFNi6cAfIvnsqTzPJTVSxhNldvLfitXUHiNW8nsjJc4JgaGsBlzrHU66fR
+C5vj1Hs8zkh4F6S/X6lye4PpZvfVILHK7CGp7krKfXIdz/hm3tX5NlCb3EIZpcm9SILPA+eZY8Q
dvLDwkq00M3tklGe5T6gcfeRX+JmKjqVRELLPXDNPess6y4U1nR2i6sRmJcGXZXXUb+CbtmNkz4n
QR/EeT8+yC1YuqgfxwBjD27TtK2Xz0APZ3L7rEuh4dhVzRLLtlyOLB6y9b5c1vqUD/14MAppnQwr
s+Oit6andsOzkBZWF/KGftHyvzldGc5PdrMjm/3bY871Rv6wPlmUvqeMydBeL9MVCxMNNZSgg7l4
fuzaJQ6ZeXxMK8Yt41g3Hw6CYFyodUS+NHxnbzUgKfUwgdZp1uZqYy2ABJIlRF42+Qo/MA8Tc1tu
9eYuzDJxdOOkVmOEjyWPdLCwBavSuwBGOL8oMwVZmeR7DzxdsGsbJ3+fxOI+8Jzt7XG9srK5v8LS
2PA9mEy9TuCR/D2f2wMsco2TTae4rx1zjfiayHJbgkEhmF+DRL2i4GVHREtU/KApPgzN5LsV3dNI
1H2ncjPfFxBR0PUNlhdwz1MnQ7JQmUssr2xeCI1Pu406Yd3uMrlptPq0NUUTtvP8XdSwVVZO8ZPM
U/dWmnZBAjUzGBGXRdPuGN9QLc+L41+9FBDFjrlQ40VC8XHQ36Yo05j6eCl+e4y6yJmv9pOWanlW
fdpaUXGfhwemB1QAvl2BpvgNzmRx7X1gh9ohwLfvc5VAf8A5XaC9L+o4k+7+0SmQBUPhsG+QSpOC
qhijyuVGzsGzq7vqbxucCyvMuUB4U3qd5HoBrWR8AKMjON/Qeux7w7LeAtIERLL9ooDbW1fquvSU
ZF7SWPE0WybQjhRrVKWrLdstq/QePEfmhJz7NuZTnL1p53j0Esf+yINSnEiWtH/7rKF0TNz+Onc0
TNpwzGdbixTZHrtKm7FtENQSBRC7ayzWS47cvFNT4RHAUdBR/DlEDkBRMqW4Bp1gx3Zlp2eWt9lv
HPz6ccQXe5zSFjOX2bXt0YZT2RKuxLGzK1vYfTT/DVeft4Wr206M2dqRSViNf+/Ll5wXJAXn4t22
/NsI/ZFh5qyfVFvL0FrcP0lgOj9Nx6ozIAtO8jsp8+qNMuS7CgTAhaJ7tsf+zQ6KKZruA6+RbDKA
9gazptdflsXkcRUMvnypp3gxNv3ViNyLffiQIbkucz/VEDtSxoNRuhbbkzlOS4iOAKF49XzGZneB
NzFdBnRI1LsKxnmN7P+A8RHwXLt4xyEb3qc1I+trd99yi8QecC5QfraQDxuiLFyMvv3hQmNGO0y8
+eiI0W3D0cWC3QgamzR5AyobnPzgXu7AEZf+eFmAr3DgLeq82t7fnPIfYHg1RAUjKE6CRTThNN6J
zyVQsbDfiiUaB0tf5Zbgn92eZCrxTXo+2PKpbA71YP/SOPkgBubObamojTECQgcEl/91ZyZBFg9+
BNAzY9lkYMIEGvgKB47Dw2kMJKJSneAlWTG3Lq2xfcY8oN9VaYkH2+Lxg2aXnsfFN2IaO9K9Xfk8
5NLYLQhTB68drhaFeu8PEwtxmUruJ+ISp6LXxsO0LncElPuWsTUu0kWFvNLhucoMOUUjyIBV47WH
nhiiTT8aW2tekYG3nZ+w7czyU5riogiYDEk8I3p5seyOl7PD4ezNs3W2k+CVBKV7wRr3avIS7Uwx
HyBGB3vILG91qR5WeERhJoGkLTCxrN1WWJ4XwhM3Y6m74WBT4XAWMhp190MwcSbPXgHVunaGjClA
5/IwzxDHLcmBbAVd874GhvyNHY2pJTiikMJi49cr+lPNYxitd3g4LXXRHBqOxduQ9clTt23beWWn
2c0PhjIsGvUuUvksexUcRlihUlkXJOyrz7T76IqeUnB1ngPqokueAQFq8yivuo91VJ8kLxi0woAK
2xqfd/Gc9FMWbQgsr524+wOMunxxzLq7tH0NdyaV2YewlYwLnBgRPN8ajKMPs8vyojZr3L0HDuhY
DXAQx+cFremWzpk6K961r4rUQRKWXkPZPQCQ3I2CNyDV4mqNNrpY61bQJ5vhnIIbiBYLb7jkPN25
ArYRmEqqwZxqYae8leukKhM8CcI1GTlKfXTaKuDX6Ff2h9lm7r0AIrnvL/jBgfFjkG1Gu77yl6oz
mLD3wWdEVRr2oeZ8I+Vzj4kYwFx/bQWFGffh/JzP23RKG11kuAIG81PknfFG3w+QnUf5Y9HlFC7M
2LOoGLP+kXOhxw85uuUPuQTTL/Lz9HUMDQKs1cxbxXbpccIWTG/d8UMMff44GQuv8Yppu0ZjmrOH
BDTIutsGbFtMEpzgrbRkf8ow6nJcdeb0fTY98T6y5hWsosecSqeixqu9uC4cvNouH1PAAkSOyyXA
bJve9wh6wFqa0LW9/H0s5+6EHEUZp0c7P9BRu7HHVqNtJ+sGcKYHxhbk3jx9Kk//woNoQEAYftGW
G2D4c8CRZmv/Kin4ENw2BlY7QzES6UfTv+Adyjkpav4XQVDqb6usM0pKU3xiU+Fd4o/N/mY4sv8J
ojCHM8H270MzTuK3oiA/wIqRJ//uK0NlXR7GDkaKmNCEOzkPhyYvxfMo73GFzEt5UFqP396YSSc2
8OCiPwEXg4Ec3CddGFt7Z/rDT4f15QNbzT1L5bG5dC/4Y5EhYZiyT97FhaESVd4GQy6vTNayAzsa
QJROgcnWsbYa8IVKrCErCLE08kANR56ViJ81VNtp75Zme+7B+b/bA7E0m6lsDHvOeSxno+hDLyE2
sIODGjqtpKp0rdAEm8XFt+QHFMVjO/MAp5v/pTMAmD7orScefNYsGsF4qu3afjSn7CvomehhKrZL
gAPTdxfadti7KekId3uCJkf4uqkC+BUgAhJgdKEcqo2I2meTs2PTbHeOXT+gCJLcGFvrPW3aaFoL
7G25v31AfzIjNhh0+1GNc7QslocdtDtD1aDr8LYupgvMDr1jJC9jA6THG+WPJRmyda/u3lYTSNsN
Gz3ANUZgL26RsOdCgdtgqSQmryxTyfOs5/wwLMbyPRmsP6y4EGERJO6j7rrqgx3xnIj4UHdeEOR4
CQPnOIG8r3ChtSxNQEWRGxuOkuCSM5ak6yiUestGc3jxbASfvV3l6RRWtplfRLBSEqSkL8lYcCeL
wguTzVlel7WwYmxQ09FdAho0kBAoiMCeCfzwsHj7+03t0XjsvaCCXYMhYNdYrfmxjE23W0Zs1u4w
lXdh1ooUCzL2YEff6MyoUga3O+IZdm5qVuyoWss8Wgv7B/pbcqEQUdeSajKsWhqaNa/kReBSDyel
yv2K9ncrVSa+ebjBAJHPB5U7a9wPgxdjUOwuDcmjQzH25ksGVYClGdyDu6GZ2e1A1dIeBz0nr9m0
yAfGlXwrClHQa7V7QZq2nvipgtWR7trcrGQUIeqaXnbgO2xsFI2/XWFxe3/XVVflEfWFHhDVbTnD
Mc9BKG88PcxS39LNHR+dsXkyUoycTPNuLeTtE1gvFWBvEvUlZYGGuWtN4JoRsgr7HRoWsAVb/bed
JaavWSKpsA5j/F1iHTgMRpkQrij5eqQd7aNFoUCuc4nLah2+igkbDwkPY/Z2qdD5B7/fH6vdqiPh
DrBBIFsYzVUWbduSRFL1nyYQbRIrOaA/0mui27mM6RjuoN+Zkes6UJI2Z5QE/iSSYmdNFzZuyNBv
9fh9WJ31Sa3cj03rqd0AcgaDZH3xtOj7XSMFlw2aOfV/u2b5ywCBhXGxAp3npJzQhOSe0BoO+czz
WwGVs0pR/N6MKn/r8ZH9RoELrmK0zjluzmZHvw1/17fnTnMWWhghF6P+NBBkH2ur7e6YdYunwjIi
s3CaH3MA33kHRA4k7AK988JdkP1iBkrnYbfOY2oDRsQYBMLR19Ujwv8Cz1BDV+4X17ykFUCXRQ0I
TIZo93owvifd0v0IwHTJUNaTeWH6zG0zKaF+JQwraRPcWR6d2VLkjKCNUsa03xgMfc+z7ee8BCXX
uOzeHRsgVN4K8DZcp/kntMft27Cyw4JTyFzjuaNOp9fo6abMEncAPUuUBvnEOpxFP/trtYUJBsXH
oaq8PQbEOQa9N2FqdfzhYPVp7R7weuPJmKE0znSiA9x5QAr/bHAKxhL4DzvseFQQXV5bTDHSfol9
Awz5lhk4+9rFfq5dc7p6BsrrwHn0gsnDCDcm/RFF+/JUitSN7YGN7ARLnPe2GAq8DrhWUHtMzByY
JI/9eJ+PG0VnPSj77jo3u8pH8AKTNndFVOcCM5GXchPkemXQPuWs8LFmFgxAr7qarFIJB23fEwcb
KDWAe56KZCtB8Xr9X0X4ORrqpB1B5GBn6AryYqS13zxm+2FuWvDXOE336LvV1SjtJzHp7XAHHu9s
sXkPYKTYX5Qvy8+pZC/krvdn/9lF/O5okbbgwcyt6gWRNni1DXd5QsCWP20/0xdjlehq2pzOqmOv
QphiAQ6dOvNf3RWVEUjNZ88c+r67p9tuhF2KA06a7shVit8FINvjaFcvlpDFdaHmihUMq8id/Y+2
6jLWp7Q5paS/qPcWv87TDFV/2Zmjqz6WdkMjMPwNc1M+sbTD2W5geHWoi2S6Y4+8U58Vx6yas7Oo
WFBB/sU/KyEemqQgjORUfqzrVWOcz6aQ0GvFG7HMZ3BB2/OmOuabnUeWK/FX8zNh3daNV8L5Zkjn
xe+S92Bp5qesS8kxJ3RxRdenEVsxsqha1HOGTpjjhopd3+P9CYL1sqqGyWu56IeinrpQdwW5am9+
1uDu4pkm6hqsFbsmaJ6cW+MFdczc75ffN2+uuV7SFMHIN8RZtxWijemnY6ySxfwkDekd+rIKjphU
q3fSAhxcA5r0SSt9tmo5XpgJ4AlxxRLllt1+lOBcb+STYeJVNrnkDqGa9TASND9+pTZsoRQe0jZV
sW3k2DoI+rD6pwV0WJCL4vpabTJaKbpsRlb6mWMaVjeS/LLn5qgPaJLmZbSnP01nMevpUygS+cxo
r0SKfODcEiH+r/WMnwAuYJAub+SolwdfJ3McjP72gsWy3G95wkgqsPRLS3HxMrOBZJ9mVfN9LSe8
wdm4TJelMgG7B5b/Vy5O8jH1JGQI+nDX+yppC978jRUPLKL+pvNyjZq8ZmqQ1UZUaLvYCwBxJzWL
+lRlnv1s5TJ/wJ3MoHzLgLAHszM8MRvIfpWk5QAjNxq0KYNI7A6WvOB/dj+tYl44zzayqNYiLiPJ
jS5ci6XEt5WjJxD//9UmgQt30Up/MSSkhlD3UZTTquecJryiERjF2R8+76Ogb2aCK2vHZqDh+5ZI
+4PpRv4df9r2yGzD2adBYrCvLlB/MsO1XlaSUac5qcu3RCXZHlmA9p5NDDvyoN6rMC3zmI2tICUo
s5cpRT4PG3csz0Omir/kAKZXTOsTwsyaPLZBKwTeibKK4S64e4OVQuexcpxD23PX0Dxr86ks1/k7
YxZ5Q7IiYVcD/OaRJ4OOYkBKbKQBN+q1eC1q46fqO9acdtyfAP7PbNHqkXNE95i2i/UlYITv6Zxx
YOh6MLkTcwNjEJGtoWUlVF+A8mM8M71AoqMAtOexI07iNYetY5DRqAADeWBbf23lJxccOuyrbMit
0NcmY/YkKQ4OiHHJuap5D+cOSzlBHRZ8zR7TAtQo+4XkdvKigqDepxgB3siIvXK7UvMIemmuXyfu
Ks9DS8uKS1+Uy7ucsy1eB9g+rlFCP7EpawktjcW3QDUrw2gjyT5BBDBzC0o1M3Zgvg1BDV3IYIXc
wQPgceltuX3pJpdHP0O964eK7VO0nCHoR64rtL5XpmFsARHe3d13n7035tj/xVyzkiRLxesG4fA0
rWMJN27twZrmwbkhqslMAyWGV7XdDS7AGrZmecwVVmmwuIqxOY8lCna1PBA0JYVqDTjjhukwBol/
wE1GzZnmxlEj3bz25LTpmHsRmy5Lw8KetUWCpnIlWcmeA26KTb8XZIioBXvnkJcS7vE0Jw+dGrtH
N+mLcwbSkRYeo+COxJHPj9z6w4Fj3CZCQ8NesjjL2Imy5Az6H3jFlFIg8A/ZNAsysX79R7R1sl9E
Un4vhzVFQsEy/C5L9A+WRU9Pk/5f5J3XjuRI2mSfiAU6nXQ6b0NHalWpboisyipqLZzk0+9hVffM
dAM7iwH2X+z+e9WNzk4VGXRhn9mxMAXw3o03ROVsnEglZthspCMkdtPyd23h/89GeEVW4d854S8/
2hIcTvbxFyLN78/6g0ijv3jMpLUNccaR2D8AAPzhgne/UKrjsUiDBcCEHpCX+NMFr7+4nghs+1dY
wvclH/rTBy++eCtEJiBGgdcaGeY/McKv5IV/pRNgftc+EqfEC68Ycv+NzMBOZjG5hN4JsROO7XwL
Bv2n0OVhZKO2wv5+rLKfDZLR/4KwxD3079+ZDi8HHoTmpsKQ8O8wtyj25KKWfNirMGh/4I+1N4Pr
cn0wHqSPs4PrMN0kOPnlhiVveZi6GsBBPsbLTSK6+ifMBdgsGVF5xdRN69dKz8RpHNehiScBAbmL
Ii9IodnO+g7dmFV14FJ/kF7obGOuGsdFjf6FFfXYnjvKljblHIKAmSNmk6q9NREeMCXl99Tm4DLg
x6H6R2x7a5Vdm5LxN0tlHzHSshz7ko4e1uapTR8ke94Ik2SUVLBZAv6yyG78Dt4BYbTU3MC4X/PD
fD8mE91xkqq4n71qj5J4BZqgu85qXgqswYKj+mSzFHO/4pPNnHBOrprxO+NY92uP4azbdoOIbhNy
l1deiQFOJCT6HSwjBbH2mRgU7RxIsmn0nBgRPChvnLCCxvUOwuJRGGe4p63B3WFmI05Faija4rmw
KMbKgKHL0dK3xur6n+HkBFQ+Yh2EZp32wScX4c7ZzwbhOGoD++tkLx3/ikNQ7Rgyxg8dJRA5EKE5
g3LpRClU9WxeE5I6vnSkbS6NZwEkdTk9SAsBfkoKnMbJksR7J5u9OzKfVMe4nX2V/ErM1lN5N0WM
hLmZrHH0pfF7kNoFnS81Lrxj5Q7TFQPt/hBbKDtpixqbJv1yyRiv/tpgioVVXncWSpL0qmcHbxvV
LuvS6mdAQY+DHoPqLnLoZ2FhzAryE/PQh7uRMyT2iTqAc0Pj4EnZdlJvIREtzzSJUDOP+RgbOfA/
QWNCnev5lv/PNOzDpfjhWb5n7yOmmvvR64O7WJkOJYpCH8wfLYlnT9AxNHSIb9wjK3hD0WhTOdrZ
jjy6oIO4uTAge/Zmxof7JWXgt1Os6Jtw6rXeqLZLyTz79XwOiw4LUoQ2cj0Mcf9O+pI3UtbYr5Fd
xT/C3q+/88okDx3q8q2feQzGmjmfyz2CaPzqlkTSN8mQRBwGSukykmZqCg+H77I4MUiLEI4qF0Hf
fTe1210okpPTNnSJ9G4STpkk76RgKrl6NrEJzI9OtWC5JeYHTUg4PSyDYqVJA6ydvjdcIyMujpAm
xlAE7wzu4pc24dXbu7qtroM8zwDXIwo9jz1zNuzdYgKNmkwfRdV3X+miyJ2NU7bqo0nwg25q38p2
QrTK26o8bfGXi0b8sLpEPMZ9XTyPHloYB1//FR436daY7IkFgUjaTxE1LdzJBLHUPVaI4rFSjbvH
pK3IlTcR4fsQKA4hRskRD9uX7lNe9xwxSk14IKKY6TDcLEcfRTwOdHGixmPE1vYJMus4HuMsbh+Q
6xsgCJGdXy7cw8WmmkNWEdRurtkFkuXtXM/A7kWms2cmPZAJbJuZLhRmv/pu2wQNdoqJwGlpVnKt
sFDhWQkd/zyAxMTFRiUfTzz+wzuLrrs7p/fxjrQMMbGE4fS5Tyotn/mTehvcB1zWlK7VPnRV+0gJ
S7xza9eQrPeKe+L26X6pO3SOWk3NK/U0nMQZz83I3656ZzHnL6ppMcO34YvS27qanMIWj0GagSWu
e6otNBbaDQ85+kc/8ZNajBW4A88lPXlpAIFpLFkWRqoAK6gay3hjemWec2awHOzcPF1N6oFTn2wY
b2+M80ecvYPn1XtbWFiazGynBKGd4Q62a/1Vz5MHxzccfQAVpnRfTbHUn0204EsDF8SSDtKJu1pP
ZdmyrfN4Ac2l2zk6i9DC5ehj8LhhVGvHd+BDTLyHKScvKoZt8bHLZR9czOC9GRUMnH6vEcYTEtdN
an0YNJ1wO0dhC/feKcNDV3aETAyo4YPLtSXf0YxCQy0ipOVueePge24AscPZx61C86Gx4dCEFdhd
NXsd/4vwPISgVg9XbYcTUlPbeBGk633d0eE176T23R8tcY0u4j8PXLsvxmLMLpcU/jT7nFqTODM7
aFYO8wutzix6EcT7G7en5mVfZKzUqD0cs+kJa1CnPdf/rPA3PE4r/DhxbRzJprbxa/uD3/6chzG+
x4CDapqUKSF5OzA3ujDiwC86gjKuipeyitqLKNMV9lmmGdyN84iLeblcFk5pby3yP5c+j95e8pN/
LNTFQI8hjOLbxMYWMkjfkLvyGzccOrMH+Y0RLZOgMwjHer59Com6mNXkEn7Y0ew3m0H12XxVKY7J
XHvG+MWWhON3xdo9tdXTxMke+ZjyrzCeXwnrqyeW3/puah11jOxpfiNuIK6UE+H3BR6fv9FrEsDp
wISkyJMqbn5j6hMfcDCGYIhi1sxjCND63Qxef+f61ngTTqFzZ/ud90PO1JTpMFmYAQ7ye0DW2CWj
rnDDVPnRoXqj5i6CmRA6G7y9JRlpTPWazvewvFsEuPmjOfcJobHHqhLDecAqkV9hPvLfPAokfi4Z
nANSrc0IsS/P6B4b0pimToLfk4NBeXLHhjbfUL/OolYf7C7JvRIinli2qMKd8GlSrLer+tri6tjA
NLglBV81W3fEgHLOEVuhGEh8lh2X690k846HAGWF+D++YnC+N9VYvYyrvFS24bQjak9pWdFRn8DB
gIvY0Fs+sm7sqke1SGwbzcxgeVuEbnqoYwoadwWvhCjCmTlHbWGOLBz9vXF6eVnGSnubyRcMxplq
d6eGooyrwRUg2sPmKzFv95vOSHKffJu32T5wOuqDhMMhYeMOfv+Ta2/abJrBpyiZqLV+wOgdhYdh
lETlQG6FHcbqIeXplANigTGy5U0z0sVN4y7IqI0eUIEvGQ/RgsfgAYagKEsOQrnLpm+z7bW5TTpI
L5rtkg1e/GyzMKxYp/PoNWlLdFNrcKdbopakK+2ZHkqylxGIr9gX8iqbivkCAqH1LUxaMPqJh1S+
yVptb2sv69/RDhlvoPBZ7xEmD7WV3Zx+TEayCgROQf+rYOrxWDJ0d0/RSJUTGxUZGEP9Cpux1cnu
PIdSBhveAibEJJnO0fUsbflg02mrD8gxoL0TCqVbzHxlc+6V438WIXzWCfqBDrKclEMdbGUv1MEj
oPdiJofSUQtNb9OGUBVJO1Sb0SZaQ6+3ZkBJzg+1XljfZxHVbzZCWE8VKIDstRqT9pCo16T0SLRu
qHKleZzI9paknnM7pPiaI8r/doUcuYl6MxycqTzRr4EVak61e5/WlrU3RYnptGtzJkKhy5Y7ggzD
dotNCMkLkkTxPcDZ+MI7Uf7EtJXuW6oieMIqP7jzh7a9SmPgKHzF3H9YxJzAV+mD+NGaRXHtDIbX
j4fiGb2d5YpakKU8auwVL6Gru6cObpaNH8ib5t2goo6MAq2rP+kOGr678YhDFvNYXGwrrJHdtuB2
81PqDo1yIVTyBNAEjbjqHPfaoNttwNPh4oZ4B48lw4Aa78Qwm5+JxZW/Jq72aBYWlU1dhvWwo8XD
J6RJdJ1DZc/g9ITqNVHgkE3zBfNOEjgNzCfuAey0cEHiiiDcLGO2sbLJb8A2D8UuY1pqn702bxFr
VPJYZ431UM00wxPNgwxZEC/FWQXk0kBW21ZBKlEXmsHYlPwo6yLLQxTKiXEZPspYBcDGxgXiCeZV
5goyW+037Zi7O6YmOUroQvQTvY9usZ3lzry0vlt9FQwXmBnbmdoPWY0baplwkvQd7RYwLbv8hda3
oLugRCP+kflg4jaNH3IqKq2CI6JQdtQT8HWqZxsD0pOBjPXpFFF1olF2qs8DjRGvBNy45kWyTT9S
t4rsA9dY79agvIiNtEpKZ53IFpdBNHI8DGD2trzKWssd4ovL4uAKuqZcZsn3rWZ4uCUmESDqJQsH
7IHOJ8a8rX3H3L7BzaFpPznQ7Go/+WUrNxSs/iiXfPI3FNkh27QkQNRmLKyU3IiKqPqBMXBT9SNH
yLg3AegBKqUusLrwhqN4KTv3xBbvOhnVjLgy1/B3pNRqg5aUHhPHtc9GR/iGrCr9VD58oY30E0pc
MHXdq7S8FBp4omkQYx3KxKc4+xovOHKYOyrcfoZQrYuiXllkGUVEYMUhdMkDcJuQY9jDG623fk5a
uILRsGurkQbf2e+z/QBccBMuSbqLh3xABDQ2IYU2OZaNKO+NS4tuMbdYTgSnRuTYuQ35NrObX1Wl
SPbWzF3EnymOx2+nbiUumkNZ5aeBjY1xv9lHXWaw8bX2s10WDslrJnS7ou1eYK8N2z5x1MOoYG3R
+APPp5xuybNMQCu9QZ0oXgrOoR+SJzG1E8GnwTq6C8ImuQRyQjaiZaK+B7BV3sS6Ci6WsTXMtsMA
xAuL9w/d+ceG6pWf9RxnTPqp8u5HgBgkl/SFHzvy1YGLRWCC6xl5Xi5nOYPq3h2Y4ddJGHt7vmJm
3S0KWDCWYNxybMnMGwrMKSeHEnsqH+h6eJIF6QPMMcNmpHvgBG1t/FpTbfAeYhIwW8eeYb4Oftm9
y4xrEAeAhAaQMgQGdWzTzGhWUmfa9YTHbQjmdf5pib4lXBtzshzjgA0snYTNaaCesY5jfEc2THVw
HwBgSA9Ck3sdPIM5E5avDDDtiCrkmslJAacMe2at68TbyFqzUGlDZmTHGam7AD3GstPzo731yl3G
3TTgGMGUYPGmGAEQEmcquCZQIilLyClV52bb2h8k3t9SqPfeN+IHjj0HUxgmP0zMnQ7OwRhMwalo
TAfXo4w5RBuZqx+aVvJdgpJz2ZnO3MzptPhbGh05mA4ihQlSEKDAJdok98gC1akfpHxwe3ss9pG2
WRJDrcwuopFkppKjgyiWFP7sHZME7i8e03J0CBw69tXQ1vUJ7ZbTU6/jdj5QBICjZl50f/wl+v3v
Vj6vGSZWXfWz/zuT+y8Y7+P/O+Bux3dcgBb/c1LIw0f60fXxR/mv+ugfn/UPfdSBux3gB5BeIFfi
x295VAVfXA3IWzF/AUakV7LqH/KotL8I4SCBBor10JHrh/6QRx35xXbR/gIPexOmRc/7T+RRrZy/
yZRolIFvQwtZER2+Vn9rYajserJKq+8ONr3N+dEKJ/rQnNzDZEr3lTqXOqL6u5vGTh2DNOXQ1igY
kARvsuKmaymN5MQL/hlCBvQ+SapbNUEGZGCusaD7DOy59BqvbLYpht3hKiimA4EViTzQ+PiV55ab
NAjmetmjZ1qGR9oNr4fWtC1GwhIeASlVztZDQU5QcTZ4W5hMk76S0xTt2dxgJwGvGzsi/4TROMOp
b7JpcHX7gTlOYwAFMKMKqkEM2xc1EIcAl86eAH32MDp1850HyfqYqd4rvtp5qL4VjDZfnSHi1D47
q2m/8MI4PkRuF31Cjkhfcl1QEdTYDnJDjQOTTr6xmB472x7YL7yW+bzfDG/zXIecgubpDUTMZAD2
2fVNAvjC3hWlgO+qyp51AX83J7K8tyjWVGmEPWgsIA1uxlYghUCaqm+LVjTU/YgheKsZ1kUfdqk5
KyfVGm+gzxYjaONCE1au8N40yTY8ICYW3MOD0rroOrlSrItxWHaWH4zyUoMWBENesnMRXy4JDfTl
8DIMfcp8re87foEsx0COp604NEwpv8l+yK4Wgj93edK6n7EQ01dqdkFokrqku8ZMTcnsiZg+S69B
g81N/Vx0ZX4cF83Bv/BA/6I/N4gtDMq853iI+uemqakBb5Ygwf2/uNWDUFHa7PkJpueRHNRdWTfx
fSa6tD1QRh2cYsSSo6R/8TWNJt9bAeeJr3dJOUxyhwS6vAx9PbYXShhBL2MyWeIwEOl1Tngu0g+v
GzmhAHSMJLHsGkyX18JjB0GG9b+wbfupa8a03bP8zrh53bQZwdF0/YpZ5uBNXbXuGMSSoiPNaaa3
VPX6Kk2CINskAX20+7EPi5o37AyaHE6FoeavTUp5NEUFqBjs1Npb3VB+vrPZmY8u0txVV7hw7jqj
v2aEfjcBygVdsGVXULdMTeUdCTmZP1A5WW2ompWnpFES8MDSX06jHbfHHOMnh0pGGm8lbe+XPvUR
1k5Urfpe97ZPJrnQULEH2WOVBkm5xeXEZcIrzT4oK/UWRKnQXAxxjG+rwYpq6HcDQ1VZO/kBIH8L
GWzqUyIF8XCwK3vot2axiPhVpo8eXFLzoG/jNHi1TdK8YMrR39So3UvfjKsT3+KLp5xbtyDiXoYx
0TjupQGt3wv3w/cSZWNujSq1RybMGXgDKr9tyoXqvmwY3It2dAkBLaRW0oNs6+GVJF/3DQKu5m7j
zxhtW9aB9OBkyyBPBCkQmyJlr0BXe2TzDlXmx5cNYFNvWyX+wIlVBgJvrQpQfSY68+x9kpFBZqRS
m2vsWzj8nNqBZBxo7LebKtQ85jGMIb3J7ABBvOYN+1G5VvKR0b5EtD6I88+5Gch2BpG8KnnCMbva
Xfy9Vaq68X0ACpONoB4HA35PkI/u93Yo0luaB5XL5YGuvptoqMZ3UgHw4EoX6rNdBVdapNFX3lGU
1RUB78qyXaoDm8n8lg1zDo9X2wbTWuP65A8i5+jR4kImzx+/p60LP4U0xnaN3NIjPK22/FSgVdGc
NaorRj/LI4uNVzxlAdqTTi194wBB4hv4Da2HHN1fk1kSk0ek8zGW5gUgDXsabjIMrD/RuLAL6pT+
k02DssDox4+ubCLun71s0JuyJnHsIwpdpp8J2oOlHGwcv2gX3YxtvGx5zAyjww4bE0Dna+xC/cmn
9+RJhzCHdzAO1hAFT4rbdX257+iVvpRe8h4RizpJwMeb3qmHjxwb5eNgRnfrkDkH6+hZjy7LWcE5
s/HHraF2Fd0WPX09/48fcL2lOiWTLO+CzCJOAkVgPAvu+Gc/b5bXPveHei8qQ/IZ5GZ5aqEZJY+2
W0z0BNC78Nx0iuvJEOv8AMlLnrMJtsIGw2zNckSE9BNF1r+twHK8rz2zd0xOIHc20/CcR5NO7qAN
FywoTuQpBEpTvqfUCZ/oCJwgpJo6+VSDirdx0laaZscmmLbjSFP1U2QN48/JT5xi5xVF8+61GAzA
Ynd0tYYpgyPXYniwTabQGxmUYDTPxwYCrDfOmGm9NY7Rjou995MwGne6Jxa7cS2hXtDCXTbuLDzZ
UHAPThGQDg9CauYDf7qEPwQZHKH0qSqoEKiFHvd1SDIzzPrhrZs7Q/CyoEUc20+x4MjjOcSwgfJ2
BX5A3vbwP4YcPUCq5qWKcE+HEf3UgEo18EcvvExkC/Jm6tzPKU5BIcaBhkFTo2eP9bxz5+Q9g2BK
X4T/w5uSb33kWkeR5NzTwqiANcsQBGAjudqXPqOgc1/VrMSbGC4OxozKNfLsKg/TE5mftD5DFKGu
Aa5lhYMHBwPmwXyWBAV8OF0HpOl22kyx/uTmTDTCEb14xs9qEWOw+8Q7mSzX083C2+eTClb64c3I
UceNcxIx0Mgrsgdc7pYAPEoWpdbeGRuMi3E+Xg5MtHY+D0RHPjpJz1Wfw1qh2Pgh80SONhXmO6YC
2feCuu+fOgn7t1xLCs2XuftmNYwrs0W5CUHPlKovOl3VjY+kBkaSQdw+Qw5jEtwiflNiX1nWVzdO
cAeGZkyqrc6AcwH+ScblpsGI6+wL3jBY1GoYWPsopFB+P7bRdK4TS940YlwSKKnI3yDbBq6Ofpyl
52CR3Q+M5M4GYjohfxfex7koOsC+rAijf0Cn1rfLQvp7QzqbgPdSB1d278wzgZkh/lZg9bog947v
NRzj/ltN8JqDCj2877bj9ym9h/16o8PFx2rB7cc/lgq+9Ka3B86hCO/LsZg9RNqMV/laEHpHfssk
urYzqYusaEPmCJXmtqyc7plD1EKNeyCc710zt68DM+CLvCDdvisdjVmWTWm6YbrLZCkPWtva+sKj
LLIj8ng7+CKON1J5/a5WFLPvRNa36mqMkgLxSZBfGljsDsbAM+Xo4jc526rN93PyYrn2ch7TLZBs
vSsQi+8NhmWIyevV2qOH5bxGZ15TA/vpVKJ9348ppd47+kjaeY8dkkMBhNI5uW2hK1xPuKcwUTod
5xcVNPc48tVD2BHmA8Oj8C1ECFg1a6XD+4TOZH5nmQ/2YezSHdoPI94+hiFtcTC992iIvYTYgjqB
9kl2j2Xco86eUzFLRjzXx8QuM7DSMVOvl8hLqx9OWzjJQ9bPLBeRWU9HKYhZyKcgZD44KIQP8zjN
xIG4qKK5NFw+eWyCqNhnReKXVKumKFEs0HO/o/+7f85ChpHsyzblPowJL8thHPc8Au2PYvDEg8nQ
HXaiDvL7eJmsr05jB88OTs+jMwbBjwFp9etsaUOc3rPeQA4w+QqbdLk3VTowwxMcF9ymx1FVoHoe
SYmhlZvC1me7jOYXeLOgaQb2mBfiHnW/Q58iXEbHfZrR45AQI3dBUqPjyb7OOSnbmXu2rZxTTAc9
vAVNqEFe+dCNSIzG8owwrvJDY2e4fxFD0LvdOG4o6pFxlFwsPWEwb3Dn5ozuTzFBkua0kQxBHvwc
y7H4jjNOgyQ2Q+nsqUmKnt10juOtgkfWCigTVQKUdW5j94Lm2JaZlJXW6cFbjBkZ6uBYsD6qtvNP
M64pkt/BknvpOaYjqJ/g/nDd2TH0qvRrMxmhwSBwLjkGvNPImDGnXbk44YAFD3DIDHLigBu6ZvaS
+/vIYYh3nKhJOkueJ96YC3PPqxh5bUJrd3F/LHXEgVVWPlWa2nuy2W+WCzAA4T2z9Aag8yCWEvmG
dhfnCpCOFa4G3CHfFzhW9zjMbUV+pRhxwyDOeu1MDTlju+Y6Xoic3tYVtkgkvroAo48qE154gvzY
rTb+oBhJhJhE0w6n8zR65T0F8o11pT3OJE8ziVzAb0xqJATAhdC4R0QnfU3gZBUncILzDHRKz917
scz2R5CkGePgGWbbe6Yi7Af+FAmfQ1Ivw4i/u4FATg1QxzGznZpkK5wZzYycpmO/SzV2/bbtW4MB
I6ydXZh4cwCFvGrMKdNiuMD6LNq9Q2X5Cdpyduxh0mO0hiD5GJcoyec5Ual9iNtaahwlQ5ReV65v
/C1VG1W/7zOnOzSYcqxdH2GhnwsZhBeyrabhwEScvYuRhR9iBh5m8D1JjwZH4gou4p5xExzwKeO4
TUJ0Lq5zCb8TuFjsLVREm17XF6UNkO8U0pw1b3qv8ONnNilyYe60YlDomjdXo5GattIk6cbiKwF+
imYFz3B1Hw39vCtVzbyKzvqEq12nRiKzQfCWcrgDCI1J0t91/DoI6m0yLycRacZpeFYXTKNwmdzN
AkL/4DtYSakeaa3LpMjeghSmMZn+OrqLs5o90Q3rd0tOxAhye7kjJg0GpLGJlScZolseGPwSixzT
I9lpmhowDDeXTl+wTQGAC38uCWc9+CspNyMkhlUuy+P5O/QFKc+dEeCEKQ3uLpoG7gZzUfpRVEQs
1vHm4jzKxnI3xs0fhogKB4KoXXYJGxBgJFIJbVKYwj21jaxo/Nb5GjumsLERsAthG8WFyr2GuH9L
6UpH894zlKSIv4deUmLJSSRuZ0Vi7TqwS2JgfDasAhecn7UDUhaUm6qIJ0xZZFOOU1T6nw1Lf7Kf
Gqf72gmXG1OW1u1HQf/B2YL5us2VT+NunXdIzng7oVRSr5PvlsKTtzS/yAeSdu7a7FecU2e2l29S
8HIoo9pL3pf9E698cHKxcvD5lS+qvSEfW9vl9BF1dvQ8z0n/MjdRnx5FKmBESbGaNJCGt4MW+VuU
jT54d8IMKwlC2MXOjF5t72CNWPlNMAy09xDFKIKDxS/2TKdIcElDLgmHKavQlkodGkASXPaZ2IKN
25GqQLhFtbdJhDImZ8VuArX/P6turjLqP1oK/y9pHLQFz7L7b0sHdz/yOPlX3VL845P+kC79L0xX
PeEpdEG5/vNP7dJXX7RwoRX7a8/fb9PnH9qlo79guUTqBIMp2F2cfyKO+dCqZgYBK7sQfEXnP9Eu
A77QX7ydtkZoRVcVSrKakEzg4/9CFk5KDw8ARWa0bsWEWBvT9E/DGJnXeOzHWzmZJ0Zd1kMpe3ga
ELPqS8C40carBfdKz6SYI7J2/CDtkpzxfw17bmEeAxXOdMLte+zMiXc/KXt64MvjB0pNfccJMP+R
KvXNAGrFlw2ouEmxktLEVt3VgQmfGmLaCHKie5GVWwDjUBhNISAxL86yOwaoD1nFhSAXeAW4jJpn
mSobiC+DCC4/lE1nfYVbInjl2uxuyfzQX5/BjVWWZY48iKQGHSfZdaiiqG/NI/fqeB93pCpk3QcP
yLnZDi2veXQL19p38EL3EW7GDVM+75SEGdk+fC4vDraiEynZ/GeAZx5qTRR/0wpjIPti/20oGRbD
UCxA3IXYPV0lA9ipDOowuiGrIQKH4h1qEZlQ1xv2dqODK0NkBpghvWz4lZp+epcFOQ+WZ3wBKJSj
/VYJIDx2WJt0oyMBna4dvWuvJybGjA6pQFt5dxk3gqSk1OA38NPhNvyvqRf9bzfL+P10y38LPr/+
EdFC+jH/1e79a1lYP/H3shA4X/B1Olx/GFJIbHF85PdIQwcsC55SPPosAb8/8ueyoL7YyufZDxgy
cClbn+Y/RxreF9uxsYPj0/YAcAT+f7IsOPKvdb0+m6vNYMXDkA57PSBU8Nd1AZJirznKqFMbtG7E
+DJTNEbIhUcHQlv8OVEHcNGriWG7J9Xw6IpZ00xENnE5EKwhspeyPZa94smtVQbspUgs/Cee6Sc6
2a1Yfg0AL16HBiRwYVn4piT8Hwk6iNZehBCE3VNX0Rx3tBFfIJlZ1XTGAEkNkBdBTGYbi546WoLs
DUkF0AODsJ4CwaFFD/7wWtN0R1OPDvbCzgHylTh/MEXtRmnfzHM1IhLXjP0zfBnfaR2q6QRBwYT3
4UaIcGmHmbfFSHPlMcHFpMeFZNMNOaSxhUwPQnZx2ziJcwo9TTLDW+RpTubk5LCxkvqaJyJe+cyt
FaX0iWGzPhpG0Nc1vORtigWITBGYWKqSeLIHsOn0KW6d0XXq55HL9/AAxL1GkeyQ8xkRM/CtEzTI
ytHSvnLA/UQXpLbH+2bMqc2IysqNrpqEprcjSiuXmgkZOMPS0EzRDt4rFmEw5KXezFWKSyES82op
Yvgs7heBQ/62jUCq3LMRMYha7IYrGokhqviQbYjHEOZW6UU4kv3eVWkoRgZJylsOcozz1zF3Gu9e
M+N2DmLROEDy2GHu6wx4tDdyYVxwCFU3Hv3ejj/tqo78bUEg/li2g3j2QhO0lHVFEUPj7mcQTJeD
ZZo7p9TOFURWzA8SEpvFROrVV+hKMe0oZsJioxqkc65ZRXAtW7MrZgbBIoG6SFlFsanyMJ1ojLDN
sXPL7pMbkn+qcNokRwScROzyCoBkpmr95K0nWlZO7IJ4jXr9CMl2vjL49bYuYbe1qTh/xE/Y7AYZ
5Ew+yhjMi6wubL8sdlYXgM5N9MXQzsF+xo//FJaJOIxN5V1AqaDhFpJAUgokemyHQCa7Rw7/yTbm
gnBrRSIkBmhwg/VyAPWbt3O2qarY5+Re8N+PlWXyK893NHMt2e7mIi+u2sYVWM1SN3ni3UoeEaRO
ukU3pnR65iJ2JuJjQBfRBI+NjdNrHQ3naDQZvO5wfOv5266gt5BAVeSgO2xmg3mXS4ShMrKN6RAo
/OcpSYr7ZqYzgD1+3wSrmT0dk0/Pscy+JYVJPi3qjn48pLzu6Xxc525vftC759xahuu6n39Uw4A3
mh6pYq+BEpwyK03JsGHEfq0tox5NNZNEh5fpv3NaFZSFFco9m3y0DtM0DbvEqeWanBj23ohnAUtS
c1wCOgHblb5ZCEn0dcIBzXgjP1F3cGEXVGJ5ppiukfiHV+xXRq68ursokKAgahKcBMWD20g24Ydr
xrD/r2n5+O+3LSqhpcM0/d+N+Z9+5B9l9FH+dV/852f+3hi1+MINmqMQkrKUKBj/jEL5XxzJdVYT
EbHZIddD8R8bI4UgOJcYv+OCcjQJkX+WcwvvC/sYW6bL4gPMRP1H5dx8xb8dmAkiSaEc7QtOyxKj
yl83xiTTSSdTEx06u39QK7akWAEmhAmHQwBg8AeVFwTUVRBgaypWFF7eHcYVg6IW0gFBlZaAqhDO
UnrrjHffoSGwcoYlhVTIqPGKVvF/lXfpiILMMICtzC3/s11hLDjKUp8vWffful+0ltR2IbdALFGv
nDTi534FuzS/GS+/eS8r+gXQuz4nhq13M5F3gkKcYlrKIoPlc3AtrFKl+c6K1+7nUl/qlS+jVtKM
9ws6w8sBgGZcWTSt0glCygqoKVq3PRtY1l/LwgdgU5JzRrb8Bbax3BVyU6Jg3ma/0DepK2riH1bg
XQ+hTkqGeb73tVyJOYGtuXcwlOnPdZCGT8wI2LmJzay9Do2KQXi3hrmttaJ4KDtObvs8H5/bX6ge
ULJYB22m56OZbwRD6BO5L/O9sosCsWMF/nR519322WTFO7MSgTCFe8+hbeRVL6X1xOJjv1rVChHi
xDWe52Y0JE4iukxBbnzqX+ChSE3rD55LJC9+9oE10qt0e6pWZJH9i17En7n8pobaIyRvY68fE9vh
h9Qwj2wZV8fMTsUtcyGCR5m/4pGqNMrBY8oeu6OiPOMXSWmGqeTGod6Nnbmo8PXt2UchLxE5eBjo
JtkYoCRiQ1S/vCrAV4fbZAU3RXGTXlBMaq55Qw1Qq8luWEdVjO7/IO9MlutG0iz9Km21Rxomx7Do
zZ3ny8tJpDYwUiQxA+6YgafvD8qqboUySmm9ro1MERJ1R8Dd/3POd9bhXEtK49Wqm1FQKfkOBpyV
s3OhYDzji2pWTIjV0ZgxUhpgQUa+g7q6zDe3ZV7SydX01jXy4bxmHt5Fp831IzAjiuYhoW3yKdW/
q5l2FdlhcFfOBKwx4Ytalb373qTFsMF7DxyspCINz+6joseLJb9EbiNZTM4Fv9sM2UInpLe39ey3
GPvrMZ5BXDg3kVLBClouDkBdpxEL5/SCLGzHSLx7rn/iu4qfKC/XF/FDPvS7akjupMkkJWL9lZvQ
nXqiDiAa4ZmxqLay3YmioT5PN83UXZCnjx+5DtxzbaAJ+Klwip3egGqjXiB4IfTrPaKUlOAkLINS
Kv5STCXoYIHMjqs5w6R0eH0zOk3n7atBWWN1MD0fyOY/YWs0mD6zD7UvgoKVnVHNQu84M9vAx8Vf
+gx0q7AzN1gig/qdzQuemRbvKz5SA6PaT0QcanxF1Eg44x0klehmsxtfsW+hjsGcvPBODiqkuWcG
1A2eR56gnxl2lu90r3IG3MWx3R9GvRAXdi5AHnqrm/iXMOpmXWvcc/yHojcpTOJYT7tHzx/MpzZ3
+53TD+O7P2P6xsYsq53pJPY73+/4K3I6St/otYF4UMz4PyMAD7pU7NSQJyPXvSa2gj/7Ex0I7Q6M
IM08atuHM1xwtgNtKZQvrshi1mM3UwiDmUeIldw6VRqWCQSHwrmLfiIMTQeaoV6hW25bvQ2vULiM
G2qbQz8ZkES4MPkPuCwln+rMS8Tt15yymaEYGBPFNTNX0Ugy71L8hC2yyYK74OLOPjoBNEZf9eFR
GF1yIooGrBFVhEBZNTMciR329dolYM1wwXAvbtrkN4++lXscmIBBJWOV6CCn3n0Ks1xHfZZj9YNm
gmmpzzQFV5d0BlSChtwWVsace0DxR+HBpNFhR9DKdIuNWtXrNPaig6Vn0a73i4ueVJRZG5qg1tTC
+R75jbEDv5dj7m36peDCXdd6Tg8Av8A0mQpi5oiGQMswPsT+tUvi8Ey2wPuRWn587sMAfgN5u4Oq
mu4YOjllBI3Q31N41eeuE8OSZrsGbUG4R3DYfIZm6JwCX4HvBz0FvbwujlBUSF+Vou2JvufvRp2V
P3sfdpZdOGD/1Qba4bfEySQEzQLTOebuSJnRSkvS7sMu48+klu7aqalrmIusl12pwfpiaxZrNiXk
raB13YivEFEgfQaOdiPLhS4zhcU+1IKDHlYI/qUz6GuaB8eXURaMzQOyITeTyjiLMK8m15VtrqYi
e8THPmxyQWdzGcmXTB+pnZYNmbwqfk+0rs8OJtA1ayHxstEFYeM00tuJnhESi/dGZyfnodPkxktl
c6lM8+h64ns7yB05SEm3NHIf4doWj95gXLzSPDHuItoAqAWeoVP50cwSLpnZu21CnBVj+aLGyUZ2
ixz+No50ftsy3NoqKzkQGaHEJhCjGldTpOs0L3kNA92Y0qBdV2VvgKuQzDKnfQWeWNPsHY0QeEcQ
jEVkKH1ZWJq6V01WbSfVexlnV499Qje0xzwK6WI184qj4IhNf2o16zNvwi6GzdXNBV+ygSDG0S9b
yh7yy5L4IOtAbNblsBgpOIS7kOG4Lcq6vbpO01/jNIK+VGSI8QSgFxSGjUtkkTOn9Ssvy0HlFGPy
aEE3s5aB3/SkYYJ+eA6C6MPn605rJ6npvjmLuYkrrVVCZjNQ9zGl1YsSBcVih0/XLD0iaqEnoXnj
5DG9aqEiKOtmw4GjkN/jp5nUkgThuLT8qj9D+BTvtZkG35myz8XHDT1RvuVwnNGokbdk9VS6HVkS
gPQZSVgs+Hl7J5MgfE4Fvsgch+UX/arZC0qr3Jjg+4j1ZKResQeH1a4vfCEXnZzpSRJ1AUe+Xdyx
BvTbFlrCBd1sOphsyJ5j/DJ0KmrDQZleuMJJqe+BsBJGlq44TR0lrUvUc3pEKt4r4TfTDw7R+s4L
m3plYTPZMIlAycgNWpsjOsyb9AkGPgXuCKSu6BVsnmpl1mLl6oxUvAHdauHl7brtq0+Lcw27E76K
6DgohBhPuRGv8obCcPTDFTrkTYM7TY8G9RWpHBlo0uDxJrifkWhgSyFqqrjWEEo2sqFGzZwo607Q
WG8OSaNTGKh+gw+BBk6GPQvC5OaG1hK56gKYzbFlXsKuPZrm+GUYNYS4jmUKCiu7/Y82q9f2JDji
Mo/qLn46g6TCXh0bAttbbYLDw4HNWuBg7x6boGooYZvJHPHQgcEZLvrsP3f9ul7hA0+welA3UPeh
tU4DzVmMtvSZSYghWoLaeuWHuhOe7+m98ibclImebOwoLE46zW3feL+x49tOW2BRl7G7kXSRrkXI
sIGqzujgBq57k3gRgbiSTkGaS68mDFDq4afgRi+hd8qR+U8zsdhczB1Md1yhBODBx1UnziH5jaYu
8TlhtMQaGtAQNpjGRbSmw6ggE59+FPhnp/VJfPVR/GBBpDkK3SHoQVg5ftWMvDlz28z2aqJgr1bu
DwxE/s4tiIyGdtJeGtvwXrFpQaGmr6hYcAhn1jtaiTzLUWGPqgg87cs8hJQWCTly98ACFE5DscmY
Ke4AoDl7jeK++yBJKAFOq/aAu2+uRfGLgzWk43Nv1cV1yKOXEkHsjpFzijnAUzvLhV04ptaW5Ee6
HvGbbtzYMdZ5xbxpjIzyUrlzkZ8MaLdj3wQFjZtz6zvUwuap+KZzlOFt9pihtdzw2D+WL1ERi+8+
pWgHI6S8R1S1jXkP6RNKJmMEFOQwuoUm6hztfCjfchp+BCOTPQcmHzXOJo881t2mdlnHB5fW4NJV
T07Thd88LWCXmTv6qmVDVFXhfgrTbe43cm/k2dvQld0dKyojENpfypUuWirTEA91fZQrjlnNwqO6
IY77FqOfzOFywY3skq7bI/cYB3dAjjfrlCREjgGsj6gq0rEdSwVm180+eiKxH6EnrX1CXsRjCwu2
ts+qHyOu2mNGhpgGJoiaG7PHLRDkPYzVklMfBk7ePru3r5rwxu0UpdUdHgfggLBA32c8M6hEo0OC
bHpSZIm74OjDdkL52q7BCkjptY49M4zHhyCIgVLrSfaW0sPGS5EYCIop+sFhzNx3uHFWDMEoB8Nz
8KRpU38P7g1zDCAY45V4ufY9d/12o2Jd7ki9YWMBSU0kcBpyDj2NZ9xV+LmXQUcG3sNIjpuJljJP
juAlqGeliwjAfAynis9LYJp7wSre881CiqcAEsUyaM+WhmVDsaSUgmRGO7frxd6Xz4afloTTUIAW
CCSlk2DWKNAzl2xP9QM5ZX2du/mn6ocdkf9Hb+64d4wuvsMzrC1SMPa72nPDDZFn2gysstljvmxe
lV52b1OHqcAnmPWsCdM/lWMZ/NDYM4GLbot22VXC3/Lx2Guf8SF9GZk8OdCAXl0vaNkbCbEvdba0
mPVA5QAaoW8TbqoO8UowJi8MbTipouAWr2IGnqYVYYLtS9xs41B6m6BKvB+6j514EdRiXNAH7X4n
HeyA+aWJ4Jn6OGMt/dG/NP2U4T4Btz9GQbyjAXV4o/csZ+1IC+Ah7YiJ3C6mW4hb8gDIdrhpNbGZ
Bbwt0pi+a66DlNJ7qlCGex8f7Fs4BvHWqXr5IlnfuMXX1t4dbcC6aV+dPfwPWLIa8v9wqPWVGajy
1oiGADkW2+pTn8LuUSuc3l2ApagZtuE9xmxK7RfuYe81qy21dWvzKwYkcWB0jgME0du6Q6/Slz3e
vWduHDg+dEqvVlIT7RmWqXmAv2huqP3NX1qRsnOdXOzrXO4k5LKSbp9OXLKKrPJiqqdxBUuxzxc2
MbG7lDzWlc11Qu9yWI67KjG51SgW0fuwVJVP4bbI9tLJvS0xhuoBSjuKGFs48FyIoyufU8zJDI1w
qbKifnLQGhblbDUb63S2E/1suAmwlvj0wOwpCTEXou4neFi9xPAw9S/4xzq6SAP7RiMEq8mUWM+5
OcQHvzOS99BtWYuCfrqISUiMElIPTxW1ouei7tQiovMKkhmQd112gyLDOdGdXSaOeOtsLZJoFZb+
ljtGqhgeUHlv4xBg1gLaL1q4ja0rWGZle4ScZqyt0uO0qwJavpED5Zl1XL5GlEM+d64ioyZtDgZe
Qx+TZ5ZXYhXek+Om7oGOyGFhtJ1Y9ZqZX4Qa2WLBUkzVwk3i7sVwaZEXehJdA4qftlVtTC5m3dR5
nWAksGnQIQgjcBxprWHXGScuJXAtuFx3BucmtRPy0XpvcobqzjPxacbs6iNncF6HsTTxrnSmtXSC
mcqb/iT0FvPswZixvQbBRfoPiJeAf1SHMq3bbl3gDHvXbM4Xw0/+r/+TBez+5AJbhgx0upFASMzY
4HoGCMczSjieocLCBGtISwIm/v/xJgjX1y3TIvH03+e3tm3yVr01v7og/u9P/acJwv6H7f460+Xf
+88Al/cPwxf41IA7/VdK67/UTvsfrsFQ2YccyyCBge//UzvnbJeLZcqwTdOYPRL/P2rn75QpRE6q
b3RQWjhZXcP9zQPhm3FH1/PgrhuBw2FBW+D4LTKd4fLLm3L3T2DW/yKfe1fGRVP/7/9gBv1Xq4Xv
OZwoTcd3HZPX9dvD1I4OtTyk48Th+v3e6Zq3AYwXMitsUqg+uez+GTjEKBN+ln/zgMYs0v4K7qI9
3XHmiTm5G7hT81T8V3OHz3gOpmAAN9mYOyVlznwBczAOwkXhWhwKnDx+QC5Ndk3g3bc9DJSF4qe+
F6OFc1L5yaF2IutgqM5c40lIDoDY+3MeTtPJGLi5/PkNMn6frc/Pl4/cFkLQzaG78wf1ixklQRlC
iypcNvRlzsaJyEvtGvyaEs9eIVt5iz50HbY7XvlRlfr0wVSvf2YHKpkelPYXW8X0qSgHEPUDgOM/
Pz3zX78nPD0Sg4z+LTKHHt/HX5+e6yvGOSzY69aQ9jmeDGp0aIynU6vuI4CkA7c8hnblEdPjsNY1
Pdw1KGxrnrO3iwbbxTDCSHwcKIYy5F6PtBsmSZJHhJspDHNUl75alCVuafio7iijK99bwGA4tpW8
//NrsWeZ4vevhgczDoO3xSxgrl3/9bV48dTrZGbFWrZZdMLYjMgMLyRcDZJBVF+BCJzbZcRaK+v+
g7WeiWUGSgs3IH18O7I/2q0dhubVwdHCqIq6ijzVxMtgpJu6Fme3ik3qohgnuNR8Qj9uu31TRhFl
xcmrFHPPZCBefNFYl0ZrlwVUOY+K1J2k8XKfVplzwcCiTnTqTpCZKRJlIhWjlkZMBReJC0uyHWkn
MrPeOlcSadlzQPewgFnyKBw1nRtmjiFJJbhrVa6zpiSm5jerchqSlz+/lz8v3N/eS1e3hG0B7DAs
nBt/fS+lS6GyqEexNgIrv5Z6WqBm9/pc87h1LeNLS/rh2o4xLLYcGkC+4wTYf9FvU73bUjVnhSk8
hxkNq6kvs2zFEtaTSijoT9QCS94BWaWUhx7S4RjKfPzw2954aGVAbUU2aC/ooOFJThR/LDOICgvg
dMOJvEKyaVpH/zdfHO6s//LF4cqclwTPRo37+ee/XKPSY4/izhcBO4PuQv98C9+Zid1eclu/g17s
bxSWF8Zy2XSrlBceLYkOT9bBo/1qYrsh2O1+Vn2o//jz5/A391ePSnXP5BNwkADnu8svzywLMVZk
gvL03jPFEvHgK+rGPVyjYYVkcPjzg/3N2+DZvmn6um5h5sVu85cHK1kfQD83Ys2p033ROTvMV3Fy
/fOj/M0N8S+P8ttViuQSO7VFPxS8o/hTJzZ+4miCv5x41rj582P9zR3B8310V1bUWdj87e3jK5lI
yVxkXQjLPFpaPn1M4LBPdmXp9+aATgndj5Emjgyd5BdG/tWfn8DfvKU+Lma8Tdz/bX7721uq9USW
IiHWWeN2z0ZP9/FAguXfrMLmb84mW3gINUS+59i4qaPj/vVhTG65s6oH4lVU97I2ZxozxeZxdxvy
x9KPr0OBpX7oP2YjHrkj7QoDmY7SqfRWFGiOKxy4RO4iu7w5tey3M9uP0Nx9bUq252Okr2XMVFRv
oz0mJHPmB0/ViiH/ZxLG//Qb/Lcr/O/fD+F5TBlZK23Dn7Vy9Pdfv/KTPZFcxlGxxueNptbGAP9G
JoeTA5b5z5/Ov7xtGE7nhQ/tGwwoJNK/PlQ0BSa5Ps2nt9VBrBlTDeTShJZQFdnGqoN2x1vt/5sH
ZSv4+1Xt6IL7Ddsl7qyuYHv218ftzUaYudEHaxJ8j9SzlGsLMtvWD4b+xVIloDpjqO+1MN5XYY8B
pUg2bj+ab4yNDWJP0ZG9D/YezwVQ49zVEiM1N7fZ7yq3FNMzWQri18CsX0tqyGMdqdnzEIFo4zQX
KoMx4fbDXqQdTnz02Dvf6SkwyznvxyNcF01ksG30Ud8QNBJnryRaFVb6SZpatnGHHkhTYGq4SvNb
qyKfvsiQM6p+z9FsyU1/n9rew3x2u07Omy2nj0Kf6muB03xVYHN7qUutvWrEfzY9hv0VWCX4Uwoh
k7xKss1oHaDYgDnT6zhXX8DjKKKlP9Tdh0kcCzqkDds0byz7dYhNb+Pr+aOUHcOabcvrjJPQQPUX
1VoEFMrFWph/d4VA628yUW2EStN1EftyN5deLs2xyi/k/9I7Y3BIB5qJataYkFhzq9b8rK3UO2Mc
qjexAVs9iFMm06SEgzUVv26+ClilvtMR1a/jumBum4DlyJwHAUV81ahZTi2wImTLSTEUq6zIvkE/
VEs3HtcDVjmf0m4O/NPWzKwdddltR5gfXgkcc/9r7OFoMZ1TXfsJ21U8x2aZboA25Wvf677lEd6f
fKg3ddt058BUxjPmROvWpZXAEydLBiljRr+mP/kLjEI3SuSfB8TocwdtedfIqgKQHjLjST2aKcBx
dtdqmIatQVLorum8/AM5qL62QLuY5UThl8fIahvOVXp4euWtzjzjpVAy+9bH1hZKXokvOhm8u7LM
5U1LsxY/cqhHgp4U5qF10o1PWTg1N5BK7ZPkfLxUWjU+alEgt5TYphdNqnCHF1O7T9loXdpEzeVV
pr4yAMbwyI6kqohWvrRHK2ttz3jTAqwFJfUEF7OiYibi09tNlJDdojZ7rzp3fE/mV9jrQttWQXen
o7VO5SOTbmPp5eNVBeM5QODeMkfvIR6k5Y8gMEi0oosulNXGbMA9gJwqNQ6am02rplF4CwhTLUo8
JzdXUZ+UqnJa6ZKgQzlWxRewnWGjEWs75ISKroXwPinEfS10PYCqZ5SSITa00G9u7ZY7O+yx6Y1Y
8CKLjpG2jqY95Ao6q6vwWyXrbxjHW6hjwqjes9JonkMvdXa5r/Ktb43AKoICpG/e16cqr8QKW6uz
SyC0byoN46qweFKG7hTPdlVo55hntZIG1YlVWtxzhx12TJN6SvgsZ83fCrem25+o4vq0REgHNHhh
ur2IYjLpRkqNI/6CFkYPHWbWdYeOCCXJ865BLVOC0Zr3YLXje+2J8j6reudKhJ4kIhPZFSOJbk/C
8m6SunVro5zPxGypkIrqnhgU3hYuKvS6yO+hfJAbHcxSntyE/ElqkYwP50poAb73qcF1wv+T01HX
FS+wVPWS/h2Cb3aNyOgoypuMCDALo05CmaK/ALaifmAs+3MjNFpuZdWsoizZ4jx/VVFeb0i3FStw
7TDR9WrFHBUEkJYnlzIlcz9qg/nD6pN20XsqWVFXAiMtDfFyajmBgYCjnbOxcvvZChQ6mgXvdx3B
hCXefgU82N6HwXg0MB21Vr2f0uQRp3/BK5bpzdKJ72RjbH7o05Ddyy5hp+/1k71NapPkHAD1ZDVU
zrUyHXtVSMjyarAeML4uRWGbi7YNwDG77baYZLv2K/O96NQxMgTV9Ok7eo+ziIvO3vbSYbCl6Q9l
yuA/GrpzQab41LcYFxaCmf5LQ55sJVVfIDJyPIOgFOTuZkSI5XQ9VcfGaEKkBms9MDi8tFPtLRuz
NyhbtSZKrsohha5OFLWN/QKmWl3YG8e356704MC2A7dlkqTH0tK6O82I1SbWi+IUlaU8CAczsO2o
W5RiTihxO77FdlW+TZWebo3AjZ+pbKHSbrBjJo2V9cKzxiPQpuJSdHG29Qdv2kaOpLAKNOwB0FW7
cB1WzsocFdeF9Hdd3ALGpLD6NGajt6LnJd9LeAHc+gVm2SrVzyBJ2k2juHkncXWrjK80Yo6wcLSx
fiQOXyxrIFR3Zp+N9w7Az6NEHj26k5scddsaaeRqgm/F5I8vKKZy6ZuZcQ+VQ21pgGEtjMxka1dN
/B3wFBRWG4NRpzz3RYY6oKvILxF+Q5bbaLwDMcvYL7XCOyY7zVrn1Z7oARLHpqvFKbBasY6CTn80
9Si+YdCy9hV4kBPRFXIWfhKeu9zjd1iILjQLfchcJY+RyBkZAtWCZKzWqq3fvVxEm4LgKnxhwolU
EUQR1ltsBAxSXWfc1zbQUq06yPYqqEPNa6e49hkEylAOXrOEtxmstdZDPFBOed9MsfgQscpf6HgS
S0psnsfAFkyydZY/hZgv+o5pdQMCdasDnllotpMfmlSBDbJs2tldzVrFOm3yrlapB010MNqGKfO7
DYSMaK9Q5pip0r+aGapcTXbOFz9oKgibeKbtPeaxCRiR/s2zG/fO4+exRWnarfCZjE6x+nBq2p0g
VlvsgLOqeMCkfQEhuXNr+6vwZojrFN6J1HdWw9hRtUl1IKIK73PoxoJW6REugGufQV+suzAALFsF
mwpJCxKMMUZruLT+tTf89to0dfjEEdOB6Jfhl/ZxkDDLrrvqQmIqeHYr17jP80Y/o27JA1a84Ywn
uP6oRQz/r1OQFPuCJ6PpNojVQfd/eHFUHNIYNrEZ8XNG4Gmris5HYxGz6dvQMGnRkTdY45tJ8uAE
7WgERw6fYl35bnEvC7fY46PrPsHSUMED9FAew8ijZ6iUhMNd6C5PWsCeJIngfaxKwXrdMf4pF7kT
6Fsb5jVLZasCEI8GhBcjg55Q93m4HZWFGloHykFSi6jxI/CcPZdwNF4qd8rCVVVDfl1IhJJgnQBb
dhaqTPwLfbQdVBatX1kchjC/B5p4DRVLkCvpcgC97W59oYHRTEE4wS7NfbjYSvLkCY9B6UGFWHdS
UxTQYtq8DikDylVT1fIqx6g+J11ynzvTuw2Qqc3tlj64ERUmDMJd204v7UQTWT0RigCIV+1aaypn
ywimiHm5gTfgsrutJjWPiIZVkZM0BM/dnkwQqpuI5pCNayWUhmguCeYqD4Z9F/Ub+hmJP2X+htUV
65I1U6nrsUiOtBvL52KYCNd/TLZ77/XmY+V1b4aK9t4Yfhdp/UK0wN7loYY1vdO9Xa0XLozA3D1l
nZc2uPrjfFXqBiHxkgjaJddlhWHCn3Z5prVg+zKTfZInCrp7q+ZBq1OQ4GCvEWClCZaloIp4UeMA
fhv6wgP+Cy/zTgUivGX+8BAMuQVlsCheh0nHrFD11JowWuo/8Tg0D/iN1BZlT1sXUro7UiDhTElN
xw/sfB3DV4qwQtvBUQCPasuVTGgdy+/NC5N+1+lG+Ep3C41ZRuutnTKEoBf6FP2l8gZ/x8f36JOT
7aiF37vYdZ/1KmbR8TyitYs4BAXplBNnVj2mlAw8QfzFz9B2XQG6XqmR/tUl25jIJppXg/DsvWTN
/r++uhlpnrXNqHVdmX5+gu+qiUXs0LhH9527TXwdJ1pslxa+MlOD6ux7D9rgcmBwGRqClRxLWkVc
2sqsuNxWmLe5uFt/qxHmXdjBdDOSHj04Lz4aho6bwWr0N65hcz1aPf3r4FrvtE5v14PrZ2yD26rc
Y5bSznpkBeA4hio9Z9gvrqDwi7WIgIKXBsUEs414FVu2ccxD7ynr9IMJhfZ9asOYyL+KHuxOKx8m
QUNmSxYBSCC30zr3nZvvEzlHD/TvW7hhZ9PVgwX/ZPhjvhV+hyEaAcPJFYxWIzWOFQ3sUNM1/8md
mubRTf2UqvEm/sGNJbtEXT889foIEDOmRnZj0L78vR+h6IIyTHdRSI0ftovwYkyhwrE4lIcywQlA
IqO5xEaOzKhRTR3LNrjCrCy4gJi99Lisj7Q41N9yP7YoxYN1sGXPI+VaIQiuYaf7O9W5ECqZMsRX
JoPdc2ozGRy0MT+Uflf7xNf7+gZByWWcMlXjjgY3/4gHxPnsDWUiMiZFfLP4qt6Ul4xFtNB609wL
l/NxlHGa3KUVQ9lFEdNepRKv2CG3Jt9qvEGvKrF1hEYd4QBaxQQilM158tSSJaLYeTTWdq5RReTm
OQcbjy7Qk4q66KI5erE28JTvsAp1Cw2NjmNgVN2xTCYYtMCecJWokJodb3zWwCw/abGWgeD2xErR
TM7hsGguqTvc6O4kIuN1abuTvASNLLgsvvhP2wFaBN5/Tb2OSzUdYmDP2coT9xosiRV1QuxCAjO1
l8oP6yfYNAxMdVT8BX+sfmQyGNbd1JlXA541x3s2PAjPGtCjKEheC6EVuDYN0pbLsrD7+N6Komab
KYvNrjaNhM9KGxZyFY73vFBG6LIaMG0TL92yqI/bwXXyXWppOupwENRfnZlQr2UyOSxwI5J+WXIw
gC/iwzMgjR8Y7rjKZgP8ip20pl2JNzTe0aBrnVpmIV7afMh3cvKs+2yy/F2sxQrkEzXYVDI4hN+5
2oWE51PmPRShXnErmKZ2oDY19qNNXpAMa0oUaOFOnlxD3RrNE+M9pFOHurU1nvRkwkWgtP2gRHlO
Lb9+imlKWPYa6fxekUStNW/4AlMDDYGzd3+YtDJ/F4bEigNHXyxxBXD712FtnDBqTN9M2FxfEXOg
sz4J7YOXrl7boIeC4eHvOLAUchvgs7ExD7e5V12EF46XusTSDot7yjad6PQT07CQ+3kH8YxIH6We
MPLlNYaicyl1kdBBUHNcdHvlvSdJRe8fGKPimzLAWa89qz8mDQzYZd9rhaK/0JGvtfLLVSbt4AVJ
ieuqy2IOenH5UHSBd8KbHKYbzbPeM5MBVF9HmLpsxBPmmdukA9lBZoI3mxEYbYJaeB+PbvY4ACza
WLoMjzLyjGsqUo3BR9VWoL66ot6MKNj7MVfmWmpx1axzLNbfSDJ3u4Tl6zmETo5hyMPrxisx6kM1
JelbyXZp3fclqC9cBEfltcadrBONdhCgix7BZth1dCrgOVsOwwjfXEAaJ8vWTefEMDgYcBp+N4Xy
9kxXQ5iTw2dtdJ9VrT3pHAHmXjljD5JgWHmlRUtBzy20FEX7XMkwPHg+RKLEDuPPjmaKeDFBg7kw
2WJlyNlYk2gwXbwjpFLWssKMPA1S+6zJdMsF2tpXbYq+/jE/BLXRWED9+yGyQec6JpSYxdRBFSO8
gPOK1MQI4sHorKU9u/vA3HAEn55FVXXogVP/HmtUPy87b2iuQ+DegUMS54Z7sOBlBau4GTC+YZxo
j12jpj2s3wYX0viq869AO9KEveJgkm6dZiRvwi1iWFXj9N1rmcOFWz+3X13QP1ddudZLzUs/kEGn
CMIvmj0aV7lmumQ9szrBDIvUBANmFBeN8DYV50COe0D8K7rFzlGRq6PvgJ0JGiU/xmxg3Ja3GL0k
Z11tSCT1w30T0LiJWYoKOK4DzSBFwpaW2lMWq56UI0syDJMBy86kbUu9psygcmDahq0pL7WpFRsy
J+6+dCFaL7jTGQ/SA17IKAN+cp94Ay0LybCfjPo+D6rozjCZC/rALjgDtoRwA0gVCd/D0RnLcOl5
eGj4xHGaT6aN6AouBgKXfyw7/6XXLPcZmDS0qLECU+FNgK/Ar60Ea++hTRzr7HWtsyICoV46w0mO
uYDDyOZArs2h65cx2UgAQX5/HnovtZklaOPatyLUuoLz1c0dORXbXd8dK9ePf4TVxAKcYS61BDJa
iqfjKYdG9hiG7URkJXSf0etLjkRxgOvRbmn28yi0geKRGDRfFs0ciQesYsnMfGjGwuc8S805RyD8
f1Nd09tueUtYqQmB+7QrlnbBV8W3B+z1sJBqMh/UrNAyBSkQbwvQGp+wC9utsfvObRQvv0MSxyfZ
1bO1B45NWw9NUHQP10rmmxpi4n1jUPaSsb2Hx854ZE6jmDGkRtFrtzgbk4sqy+DgqRwLfglqpO+F
cxrsQkFLMwq6p6dkJbqaM1BN4VQVJPIuHsq7mkbBJ2MIFkVlfo9L5w0mksD86wwxCbROrZ1oyqGt
VM6yGbOz0wZiF4aRfi9LYZGJtrxDPvaYYur0sYh8c2EAXP5S4G4f3Mq2H4G8BvuYLchaU91DgNuH
m7TT3/eYFHctZbqXgZUUSwRwwTAhtqxNIRUPeb6tQX1tzJwpMwNd60zlSrsVjmw2bU1hPGLIa+tV
+lEPMwBJAYCYrHK3LYTAFXyrr4bTysdIqYYlNUhJI9zQQWA3wo8PI1/me8KuhFJBtRFABceNc64p
+YZbIOytKXps2nYzocdaquAzRuta62P9w67z6RjS8HD12qaC5J7a+OY07qQF86etHejtpsT4Cc67
Mb21Ka5K4EpSTUqRSSVqmpNHV8K9QVqW0BpAW4Gln6S29pOCIkCtfc19XM6eFm6Jqxn7saDWniJ7
59bq1bKsnZM5NTtNcr4rybL8H+7OY8dyJM3Sr9KYdTFBaUYCPbO4Wri4rsWGcA/3IGnUwqiefj5G
ZfdEonsGKKBm0b0pZFZGeHhcJ81+cc53zk0d3zL7xS1l5XuyqO9KA0sGaLCBo4l22MbJyji/n84M
wJ7SwGWsYMo1i4e1nWBDQmhdHdHgEvEM5aJrxuzLIUeEcJTmfZ6jK/AhYKGipISlQRImfJjKt7kO
DG9XebRAs5ccJbGHeIWDGlNDV7DJovSQZ88g5LaZaZBFNkm0cB6puBaMxnBpJ6AQjO9Y28SZZBl3
A9uKpl2Pu4gzd2NK+DUbqB+fJeCwB1FHBRzh2Ea6jbBM7NxJdYcMsK/LrKUkStZIUrF30Lq/Nb1l
RB8h/wevZ1PB74Yz+ui4RB40Aypd1IVkFPPeVuDKxHbG6kS4M+mcFx8w0h0K1vChriCWJjoog71E
2woBehP5tX2qPTthgdkPw3RAPJd8wHviVpSKR6oBgK4ejWRWrBwtJw4+IuhH3sryHJjjNUaws0jo
T9ZRKqzhLQhUehdE0nOOrLNVtoZ6tRxwCWHi3hKTnI7jeqgh600CybWOuA+FyQqB8zQQ+C6b5F4B
PXzQHbEEa86NYu+omZkm2jhiPUQi5Bv2Cv0xlbb3lcqUsF830OTuBNTNLX0dcPUx281zh5Ggnqzu
oDyue7hHTCOSqKdbDCvUJb7RvDIohjdnD+CQx06epPCY4RtyhXTc47TKboSJzwMdwq2j7GObVx+x
ueS1iuHW436PSqTrRnRuVQcV1CJXaeWSKH7nUZBc88TFb5DjajrimlCjyLySk/WFklAvZC+46rAb
2S5NNancaGnz4L2P+nuvHl/JtRy7FS8ub/zs1MeRmN0IA8TCNS1vApA6a9HwoCMkhHDg2YvIxtL3
3N0FN2TKlExlFb5yuWTDd0Qog7AC1vY991jDG9dpERrHx6KInVUnQ3omt8clg44FwGHQDg/4+Lun
SJOwNyYOQ+rMq2/AYF+ARVy3jhFurVGCUPVjhhRtGYav9Au5uUWVVm8kib/HvnS6d7iZRHI1YhrP
cwfbibzTVFH4JqyF645LF5M8R1689pkXTCoKDpNpaXJOafM4f/LyxoTa9lAPgUWhxfw0MQ2WI556
ayPD2k+Y9qEOcu4npYfjIxzn10nSteVrVllMNuAgJLf4WF6HwXLuiBUL8SV3zvRemUl60FTH127Q
idepngEG1qz1KIlmML5qCszrMTMwyqCVR19fSAPSXxuFtw6joR/0pnQhswpvkj6CO97x+fFJGrG0
tiGkwSdaOPg5TbNH8bsecgtXaECaRNz26RNo70Ojq2Hn5cNzh5eFTzB6YoG8ryxfHjJ2SaDwGmjj
E1i+jdd4zLiVQWg7K0XOleQJbBYZyH5FZ9LzoK0yDJA/izm5qWoJNjOZ9tJuNsWAAQ3FMlc2g/z1
7CdM4ONqG9tOv2lR2sARsatoF0y5TY+PGoZULi/5xFPrVYgaq+GQ03++mkXAbFW49dFTdv2FF9hE
B2XzgAxQxJNVXgf9Q+ZZNokOVpceyP2mayBL90rGfv4EObNt9pphXbA23Wjm+5L1ihyY6C6u05tO
Yu1q+yo5sTlh5WDn2WFsAoiJjakxOLn5MN/PY4LvVFoDkYOxbx/81MzglyxZ0TahGa/I85Mfs9VY
6wJxzYOo4JxSF1bJ2ZtdjjBP9pcuZW3W2yGNXGmTMJHYFS1TXbrHBrZIsRbIwW8G6phTP4XEp+i2
ctmmxSPBt3NW8rJ3pk10WsdHvoa68Jy24C19f/a3ieib/QBMmbLOPgqJywXupbf3UAEjMxedfU0H
V67ihq0iCWb1fFdUX61KjG/CzIx1I7VxlS4V7zDbyT16vfLGwb67LvMMcfA8wxO2lHMJGAc9u7Et
cW4Z3sbvZ0JGPa9bFOr22kvLce0qQEfs8tIrdE4Q9WRP7Ywn6cyJC+eXWm6nOaX3wiG+eiqbZTNW
h9ZLxrjhhKtHb6o0gF+aOOJez3gjU6v0fsD3B1vJVI/LI1WQ0DU6YdT6hlpnsR42zJCcjRlbelWl
RvfaICh/sHg+7+LK4lGKsHEP7lzee0i1ViV7qDU3T7tRHLIMqHr4l+AtmaakU7LBp5Y/JHmV7sFf
dS91yFkHw4OF/lCgbFtNpuJvvCTf9OussNgsRbLDhVrGP1x0tG9YGpNbjHn1hnWisbYRKq6I3PDW
5BP0a9uEkuelWYmj05nABPpcOVHZ89PBe+B/GIPxVvjTd9RL5xr48oUHimk90ySQNZ26xFiPNKDr
Zukc3JiI42Bmdb2v6Hr1vuTwhKzctP2Bx7qmfFxIfEPu4/bEcvoka7PFDEhiibkpg4zwVYNPFsnA
HFwVvUXgsMybHzaRhg4z91A63W1NqNGxMEcw/qlBSlKHx53HskvCu4hh0QNPV/KSFpX1OthkggjZ
RtuIXLRdWIbzrSA/Zl3LJcIP2ypr58wyX1Fddk/pbDOY8nO8cWq2FrOdjV3QF9F3EM3+Bn14ug3E
PD0Q1l1dFaT77bgtsq2QTXsqRmxisHB6m/WL9atL1muQxfXZUHRfdgT9yJsi62iQi4vrO2FjMpPs
uWtJTbth0NIdMewYH2kUiWenpdAuaJIOrRG3zGFlvB8TleysTmwze9RfRlDbABps2LnSHkQGHia5
CudhvPBEZpTUbvNWil79AEHDLJ0AyQcp7X7A9KYZ6kysj1EwEARK6umo+N+UKckjsYOBXrPc8Me1
2XftgzXm7Y2bljVudb/oT90EtZsZ9QBhhV7rUCcxG3Q8/ZfJwcdKD5Fjj7bibFuJDo3KkqYgAyUf
wx6fX1yVFCL4Ak5NZpNZG/DqgTNlienP2VNM7oFX4/RlC1peG6XxJAvj20Ha+ZhXmFVJSg13MJ2S
paot+7WbJM+m0fS3k47kI/6z/t6Y+nKj1N3AqHVnY3p7TUvRXjxiK16JB++2CiHK2SkTf61lqF85
Vl5FmjnXk7HUB0Oe3jipa5+LrDX3WRTnl6gjHzf0+vSr70OQoINtrpu8T2hVTE4HBFYHesMEHwhk
ZVIGpesRgNfW+x4T4Vse1Q0e62m2f8Bhpx5rK9NYZdTJZ5V40QbQK3NZ/MGbVpBvEFXaXtfuIo0o
tM/RFFXHvBLMfUS3bxypT5ghSuxclvUKlANWts93BaQgya07hq3JuZ87Z8fMVvFVMTOXxC4eI6jo
l0piGc8DTBFGDLEDSCyi2OLnwLxGjNwZWajHPWV0QNKS48KwVrG5DltVHGrB1Fj40Zsfx1+olL59
pq3riC12Elq7USJRq1uh9lVdfqciLVc4kvYFqINVjm+zSid3E+f9VdREV4Msn0fNsUM0z2bMWAwZ
1mSyN463vLJrbbmbPpEWIaTVwwS5FcUQhvg+BrRbZGB6EhQIbIU6ki9YZPnwj6oc/nFkG4cZk0fm
uAetpiu3Zvo9QX+5Z9Tl4uYiqsDt4BexcU9oJrVW7xLb/c6QYF99maQPuHDFo1fQMZYzuRgiL639
3+YSV1XD6n6Liz/6IIvNvaYFNncQFFICsZL26Zdi7p+d9/NfKMnHEsgyf5MNbkg1/5dv0PHddPOR
f//P/3H+biDf/W4E+fO3/GkDgYUZMGOF3wOMR6AH/DcbiHQBXiKBMYVFLY+SGnnhv7F9IOWZQN0R
hDr+wrxD5Pgn9M7/AzWXScz5YtsIcFb8Q2wfWywOjN+F3ACEoOSA5cNhLxxHLArV3xTEgVbGkKZW
unXCjshxHNIY3kQGrYtv6ArrLSGUprbPglXogaF+h7+2SdlQ5EF1zXHfvWDXJHir8GP1KqqGwAy0
suUxCy1s2IGfokKsiabeRdzht2bcCf/YCzEkV41Xlz/wRutzW8igOWlTMPTQ4JvhtdErAcifMdZv
OzLN2GPBnqVvAhzKy5hFX0XleTnVki+IcHHwp6Lgc+J6BVZ8LM54qeSTSRWJnI/YzytvNsPz3KJD
OfmxKV7wr9kvobT9xzY2htty7qjuetaEpOuY0anHV7JURXHLIBBa3cm20vkGJR/EaxqIhFwcJmb9
ySYL0tzSZzbGSUyx/WAWxKHu0jRIMjaQM6OUNLIYEQ8e6DSg4ZjSbmPZ6pm13qzZ6+UusJe2HrLh
VvRICa+Q83Qt6xGXFKSqTF0JTc2C/kJQRoNUgzHMT4yf5ZWtDQyuZjI1mDiV6SEVbB13LZwlK9cd
1PRA2Zk7rD3sJN51wLm7dQEvjwonMNCmo+lMf6RGOVfHydLkIuD74w9wI+G/mqRH3qYL0ZefjPtI
KGh/mMJwuiGUN0Dq0nODJoFqxm3bmuUTdgtSn1DWjeFeRE16YgNEX+iy+3umpJB3aW2KH+boO8kW
I7NHNJIe+Wh8VoU0+MAzttpr7ZdaJ/rFjzwX63vmoiPyzRyesCtlfVa5Lh4ozRg9Kr+uFfMqyxgW
3DQo0TCPiGD1+RM23q84NK0d514tGWnekpbW5ktwGq5E8YOMOOLUUCQweU4ZNN8oxn/kIVJlRYDj
vt1fcWzh7JF1SL/B0rEN5+DIZlXh2v4V5KZZTPDrLPFODcbkBZe1g7J1DphcidwlDG74FQyHORY2
6/QrME7/Co/TvZZv9a9IOdMhXa7FpU9Sya/QOUSTBNCxvNc/hUWczIZsuQLWkbnE1VE4QziwlxS7
8FegnQnX/C5fUu7sagm8A8rOOzj8CsKbiolQPMrB5qrORPpFMBahecRRMwwIPd1syAIn3Rg0deyn
K97o/CEIEsRPUvupWlGzEd6xat1GPVcIClBAj9tCN4NkRUT8zdm064DHUTDRkoM6mJisnwt7QA5S
TDM5Ie58FQVtRvgtEX71iJN2jTJWkpLDIsG6I9qofG4GZ8PK1jlYNLvUa05XqZPLxvwhihWkk3bq
IciSPnzMm2UemSrv2tQ0u8wWC3PgD0AuCxHWSKpPhxnnld1btKJpxXNyMuwQJ7/n+vUCwZ96lEbO
NIp012vGPAS49oq4g1ylyScxAPE9DnPxmWbLqpCITaQXw5QVM8iPzJrWFq8MlDOvwktP/iTbZuAf
neMfRTDrmf6dfJhrwzDUczd1NOq100FF0yOpn+SLxLaWB4MYKIy0YRv7qG9SWe58o64/4F2ei3YR
JZgp2qKF+8GbtK487a7RJPO3Xf3Nwwxt6krXxCKM1aW1+25vVVX6dx/EP/va/m/H8MNDQPcoTFjU
gn/g48UC8H83fV59fH2k8e9X/X/6Bf6E+plA/bh9hIWc0QHHx836d/+ntP9A2m8K4Qcu//Ab08+R
f5gSL4iJiEOCoV1Kgj/vfceGqS0JYKUgDzjEsYr8r3/98bstEoD4X/79d18mIJa/3PuGbbGmxWTA
l/nLfY8cseS27+ID4UD5jiMvoIyu4AisfYQIC6WVjHJpFOjlHZpCs/PkCQgrc6VekFJO5ofRcdlP
XL7w35pnzwj1DQKZ6Zl3L2AzkvgFeK80T0lYHurgnrSY9k6mpjuupYLvThfMApWFA+SiZl3RIG9b
x2RL1LKNiz57n40Hk8YSSR0OiVM2WsNHH07FJ7gSrwV1hPGRMXuTr5jlB9T9PS5TMnCFeIckGuHV
KYNx2k9mhzvbhptXH7EUsB8Gg+kqphoWPbzyRXIHb9aL1mpu6kdP6vwB0eK4EalmujJOjXizpzS/
jKM1GSAYbLACjZozurKpZpvheLGJKgQkCPp5o0nW8Lfl/VgkPfsuZHc/FAsFUupz92QRCnjvGewT
aj+xH2xP6ReT9foFJHB+L3N2AUbngs/Pqnnfm2MBJGvB8fcetQ3g7xr7hxg3uK+wz/YahA+nu45/
BAO33wH0dRzQUoueqygd5nNlCAKgIcU8IIKev5MhB74bRlX9NiMCuYVcpKxt3CrWi7lLVJh0iUtd
aZ13l7hCTEDVNCIjGavZY5DPQZySNzCuEFIOT9ISxnONfCqjgJDmE+0JARBM+NFSoVsxL76I7U+F
kWnfzIi9LLtLoxXVQHvBxLggBoAvSPIUw+CsnLS7UkXcEIroNMVBqjohQILJI8mMNOnvuZsazcZz
dfsd0TQ9en05gDAALUNceWf4axpg/7qsGgHVtSxwEXY4vfZprdrg1gt0RiYgfReK6ACJF2pttHLE
C0k2hdhLS3er+sJwdrk7y+9COSFtHtNKhuWqIFWSDLuMmWCQIzPsvKZ6n90sfjXtqqS5IqD7NvdG
xKS8NcwSyRPPB/bHEhEkH+yoWfTk3Ofc+HyfDn/QuCHgI75Hf14jAgcN8Jq3TvgTgo2clmFC+I1p
uTv4qtbWjwpxF1zMRlg9a6KQQTp/VlfuJC6R8gJ/2LrSQUziSJhlTHkG9AVaxOPWIOqu2JgE0f/Q
rd0aV5aRlOm21zp4d9FXqEsX91S2LmlfRzVM+VPNUu5r8ubkbYxS1t5NEMqKSWG+xFGU3k6ZButO
1yqGYxVL5PWxEpLNsCGQVdoEbBObXaadte6RGe+YsJOAiD7O/w76RtibtA0sFhaky6x6VjF3pg5b
yv++7XHW6vHBQDD6SYBz+6Jo12/ccZ53nm67ckPMgwA61QT9HaLh9mVoPNaX3lCe59lCJJ1JU2xH
YlsQsvdhj5AkYPFklLG7tVkk8Vnky3gXSkL1MmFWPRdW6tGlK9ESlhe65bHoopH1b4jazOOpHMgI
GRhIxB7Bfb2SSIHasidTPQNPYSnNLowxSHedpYvSO5hjIGsIcMJtRkj1vmY8x82cmUdJrYZxlx/j
W8Pi4asz2ggoVWdO17B6jWst4+g6aD3omwh0JIvlKnno+2W2AhjHOpqDmA9uGzb3iT/0t21kC2bB
Q2FsolIXrwspGbnWAOAhDEPWvhw5a7xE846Y5GwCrVUROs1yt1gvm7p3xGzlLV2ct23riAlRMI5H
HTbYyFEp+chcYwYFaQr6YyXgnVYbnVYskNwhqkgNBX8kCcseTljtyRLzRrLjOMO7J346NCUm48Bb
B4PJus+6ejoZ3giCZfBbJ2Aipko8UQaKMLN1kEOHlJ2fGeT0x86lDVjVpmb9Hg21erdKt3r16gEe
XV03hH3amiky+4kZ8WqZqpTAL0ku196uzOq5VZZK722/hL/TTQ6HDlPxeuMYhWmfYzWZ6KP4+Jda
tDPGlajoCQ+La5qtAEtx57aqq+Y6mpl6rSCcTelGRnZw09Qy+xzjKP4ZG+R5V60JJtNGnLUKMrDl
K4m+Za8ge8TrLCrlNpyoxCCRywQ+HojGjVHW48nt65EIMPJbTnroxbz2KKjbNbnZLL6UDS7IirC1
9X44XoaqJr3VII6VPWFsHq0OfnUvdeauR5bD4652HHWFtNjw2H52zoFmIN73422jxxmjN95YNrlt
PxPehlBS5zmLQoIdTeDvIlefBGwXWzNzzsMIyYntoeZ3lXyHd1Up2xcn84dTZ1BxrCNsvdDeSbNB
3jiYySbqZHlaPN7lSw4IXOG+bQ9S+PuuzRi8TWS2kP8enDuRUz+kNYv6uAiyU+wM7N8t1UBRTNrQ
I9trBtzK3wCPlXXv+OOdbZXByjf7+SvjNuCiTrrHDLLeOZrZdUx56CNHabt7CEn9T5fLZ+9EnXOC
mfGBI0FsZqShh3lwIPR3bfvkjJ7D7ojVJyBhFkigmdzvOglC9IoA3y8aAdiO6l6TICP96mSFHcyf
KdGHMACVuWKJTWTwgDntiqVsd1VEJRHqfYgG1+Mg36oBGxuGywgyLK4yQ686YYXpOkbZv29ZKipi
Zur0OCe4VWzlZqeRR+3K9zt1ZtfinnWsffTKlW5fSbQKNq1X+D8EDDlMJIVb37p55t+jJJMH1XWF
tXarEJzqaNhfAQ/MJmyJma8VFII6mxN3m6eRezC9rnoyCxO5jubHj5Yhfs3h+tJOE2lK8LdAFEVw
kbwpcC78sJLOM7cABEs2zF313jUBgSW41Ugdadsf2IOri+jEeE3AJqPRIVXRTeu1ErIOc3uGF0mL
LrRyOmouWxJ/5bChZko/PpEtCPkX/nj0HSJBvs1Dw7lSuoKmmOW8hauBRp0LFC76G643uZV97T8Y
LgYKDoAwepNmytQmSvrx3RCx8Y6eldQs1anxuQqU2Mc+sZhLMMwpGIf0J99vcyGiFETrrCH1zdXU
Up4xrIVT2PjdYzAhZF6pdvDUxokS9kTCmyYU542/Iwx9eJ5dIXayLvKPANcvFoQW6Pyqa8OhW8Hf
I9bYrh3UcJx6V1YUkdGCyqq5SxqHpVJJrsOyLsg4qdAjdGwJdNwkJzQVGoF215AggIeMXSpAWQLe
Miu2bjDgui+2HHq69ZaV2C7p84Vo3BD4DsWs8c8JzN58Xbpj223IHCCa00duD1rVrgXgy2lo3oYu
aUjmS2JkXsmchdeoZZ2SeYeIjzwhAZBSO+nAIksutQFD+H0KBkivWobMcHRzpQ/2mGfPrhvX91Wd
EW3T0A/dK7JtNjTPEetPU56T1vNvrVGb34lVQwXjKSBijnt3wcfaxBdjCG28hynTSOhR5fDWDU0b
F9somSHkWQYtzMX38h7If++5B+wHJQzmlCEH11vhE6fAVdFf20mL1ZGfAgSHMSjlXlidf59lNkbN
ORj8GX1O5v5UuRHgCya24QnXx/SR+Ib55TOS04eShCmwUk3TaYpVeIAryHpjtc6UqrYZ2etraL/R
TzsqE1xIlVpPQWVB8k6wd7BnT3Azlc2d9ot208iGI4peXOwmqja1cUfL3gYx/FI8YykGc9GGHwHb
1nuzoMTYUvUGbHiRPmXbsRJY3EJUXT8znc/UaLoh9ZK/ONrOutwZYTFuG4mXaeVyL294srW1rZVZ
fjhs4eyL6qNsG/ZkjfBv46U0s2paFxXSumUcRJYwT5XNjKuOL2GWukdcx9FtCu2bRYeAFUMHZKPG
bJzBhzzCl4yeVOLyPVmNUz1Xg/RbrIkE9iCjte8bB3E1pQ405SysNZxaY94w4uGHjG770DmIcgUE
DsZfJhUgZA2CxyNUUsgXTJ7FKkmR25kRmpnMaM7pONsU+NY8M+aw8CW7MiTF0ABEe8121HjscTrg
L49b7xiBK6Ulo+e092Q/hCeCE0ECZgFF8+xa0T03d8Wsxk4I9wrL4kgQdVqtxrF09qYBd7bHt7Zj
lDJuIxabCGhj9t3sj+ejq9jiGabE6khCNvlGrb7mm3ZPrmObr9QB9RYTQ7FLrcQhyw22GvJiNLOr
gLDbtWIFtBlVqu9LV2OKzp2MlXZIRsqqqM3kDtN/trWqAPO75wfeeQE8b6ngwq0twk/q1GBv8k5u
S83OGpln9E78Zfc5mabnrAwQLosyKIXRWspFsNKOmEty6OWlke1nA6XohIzscRzDyxR31psFsujO
I9Bz09sjWZih8EaEkv1wcKssOgtRpXzuImGUnQXgDvGh7RHxMUBtZlQYJarIpUKHvB+bJpJL6bpk
UnSRoppNE/OTkduim2ennPLitCgVM81D5NAcNz0mF9tIVLeJMCccS9QYyQrgcvlYYgzDH1OKixCj
+8Dm3zlK0RqXsvWc7YA0d1pFCLkfa4PYbHBFWCtE5PtbQCTxI69e+BYLe+ZoAy/K8RihTwVpxiQu
K8z8hqElMOgwFpfetZcRLUq3ZOUIM732DEcf4iR2bhJ7HhmkoTa+bbI6mjaemRub2NTyyAx4ajcg
hbuHyc6SJ53p/hIYkfeDd9e6WHETfNfk8O0aiPukGNpTbOD/cK0XG2/6dWaRVYv0UV1LExY6Ynhm
GXnHeYVDFBis9nN1zArYfbpA6xmiW12lgTEe7UpUGzjg49nI+MumctFPhmjsKVmXfHIvc/RLw1W3
uE3qbGeaKHQTk4AV4BL+Yxdrgm0nXdnQM+NB7Bh1VuvYsUfQwgZG9KVy8ZiBx8WjlVtkibi9upSu
/VPSDHIr1yls2FEb3dXkjvJ5uT63fZr6xX02usOz4FLmZznX0Bd1X3ZfqTtO67/RnOP7KJzs4Ewe
FU3WjOPGFAotCLxm7xaqXqE3WaAAev+amP2zR43/lTaEnIPSDv6fk8PHhvqu+euW8N9/29/nhaRj
OY7N4tv0nQDO0DL7+/u8MLD+YEEX2GCw+O/S8pnl/R9enOfBOwsEv4Vho81/+nNgaNt/BKB6XN8D
eGXiH/D/kYGhKxboyG+LQtaULAcdvqAQtidAx/11cIjxANela+mDG7ooHNLO5oH2Dzl+FHx646sv
EO/3Y8yau01ht5bd92jbL8r3X3OZmfdhveSJ18NXh9p2lXawmztMpxvDsAxkmnXxkFZme5Z9RAtC
nshm7lHBzbW6ExXRdIPNFr3AebOKouqGJpsVBfUHui/vtQwqOOx64vg2v/Mqu1hTAcQ98loCORRZ
oanx5UbODf5eKJalUb/HZc1ZLugLu2liE+Utxjtixt+TNjtAZb5qssXw2Q1EceYiuoBiD8jm8WDi
1xP9jaOKq8qXzrmDBnKqjEpcMY6RsJAl2jYw3dNzGESPKBI/BtR2Ke97BvNuWRWgr9gqznpcSKw7
Y5TeK0xEyDwnYkjRZ19VwuJYSdkizOFUbiLgttT+lPDBSuqJ0ZzyLP3T0sFNOzFZ4JaXdyj5zHVQ
EehXw8OdWsS5hVEX11KVAY6LNvx0mFAcBI6JUwy1B5dwTYDLEMhj2iASM7NIfHZiem9GbhQnhzJe
DT17SLy16wrz5qeGfnYdit48BjADVgmSpQ0sEPd6hqKM6rH8VlY37FH1yNvGxBswRAQVagUWizLC
R1ci3W0aF3QEQd2c6ny07/12/qoq1NsI5mpM5Dp9dcrpFRFkTA/C8d9yAK0QSCCISDVcZTfeINDG
C9NnP5PCTw+yDN6DLiNHseeXz102xWCzZbftc5MwEQaD/KqMvrmJzwn2pESIR4Rl6sQMI16xNkwe
mbS0m1TaKQOSNLpWdZTdDx1EY8AMCCzTgMstQcLUVe7TYu7dSkY91wjBXnheg+/RLPDiG0V+A8AU
5lFHCkVftY+hET7G04itdcwR2bXPanbTTc+9sm8LB8yT4b5lSK5o+lqMc9W4ZX6MYYhItl1O6Piz
uYTee8K/76fgEYXTBbgvzyzv+7qPwTeQquvAbunNYI9JPAqvlWPXDUj3jkSBMMHVFGFWubhirLYW
jmkSUdLsNsCGvSU7bTjmiVXtBM/gbdS1/SmM3OQQpUxzM3zmTRK0MNira22qkCs7a5yzV5TqvlWu
zxQGxJPhtc+MMsaHPMjJZsPBBLIU+GjniieLxnWf0uY8Z2zZ1vyo+u3gTchwUsXlGmgjfGvKqofR
a9dXCcb40zwN9FdhL10Cqr3G3jCk+ma2WzD2wqkpUNPdsF0d7yJU6ZtqdNPtOGhn3bWCXG3fuTUb
fF+kBpFEEAzJ3WCBtZwqX98SkcnE3BDzj47I4qSj52d2XR58U3XIe2brLky7ccM+HWRvPJI9ZAak
arRo5SEhx5u0WwprUflk3cVeAUYaKCDTZJQIwWDol6kNxBOKd3mo/Sl8yUwZrilF1Q7TntonXN1H
JevpXEsveQqSqr4C0CtISfNmGw+jZdwEeUNGfZCpF1HYLyaK0h3RbCvmRMWhasdL1fX2d48x7D4Z
cAiw+G/nldNDTcYRM1MGYvsL2uoz8TTGbPahtxLpIuBKMRw6zBjYySrYCwywdphyISFk1Y1B20mZ
bm+koFChsg8YQZDswJSP7eR57EObNzehKMzHNNxUfSzPRJ6ryzCH1VXIWvQ2hi2KilNfaZH0e3bs
9QtzMDBJKERuGAdqXK00DzqhmcpbFu69mtVTH/BtZMM034fxfDd6SMdsv7A2RLklx0rpO+4h46gJ
R9h5phd9NmVO/nNmPEYjWQizgwSjRKd8W6ZYZFHqJhu803pT2MkV8uf0vo6glHkge0hfdDXecgn8
FuXgyhn9cDPNFuYOgzhJQPCG3nQG+uQQLvvebNLmajQQChh5LXF9ZCazOIdTOPG+LQtsSyBYCFDe
32FE+wFcCuGBGhiVBm3BioPctrTH9+3odmbiTr2XhzhFyiJ8Nl0Em7++BzT3Dq3ygPq1C+wX5Cve
OvNssY1QGVynCw5kbdM3Q2N3ouHTiDQGFFUMzaNd+T+9Vl2ThM7pax38IWaybvu3veMHq7FP6WuU
Hw/39hDrHWgAWCuGupejVVHSCnb5gEi3te0NW2bXz2xj9ogg0ZZyJ6CTNoI3FMnzrg6qr3LkgYIO
+9jXqVyrcRo2RWbezLgpYQuRj1QJ9YTbyT5qwwjWzfKT9tMp3Dl9RF5sztHTBcVXYc+fWpbvvYR9
vzJm4mYzW8ZbSYDWQvFOTmMYXRL2Ide+SccQOfZdYhGHOYW9j9e4tze+bmGQzfT2rpLOAaF98xgx
DdzMbVRjY+zygzOWH6bBKURy+Sa0Q3R43udU2IfB9b4QjXiYEC1MBo739f+lkP1vtzO3lr30r4/q
79vm/yCIu/74iqePf7k0H1/f7V+25X/+1j/34/YfbKVdFHFoz5A/+RSUf+7H3T9ogkwEaT4P8O/7
cZv46EVCx+Lc5XBZEl//vdy1WJ0LGzWbkA6gw+AfKnetX/X77/UuBTAbekYRFLvSNR1vgfT9JoxL
LCMYZ2apuzHTsbsxG/I6oGzEt2g9zOfY66wXv444XGm6sysSGQbrxOq7g9CVqAcYTMltU/cRy81h
ckHgpNziRRdU+7BkpXMVwn6LnyM0nVylRuk/96GyUfPY9mY0HHPVmtl97Trjk/RKD/Si/t/snceS
40q7XZ8IN2ASCWBK0LO875ogynQnEt67p9cC44b0SwNFaK7ZOaf7dLNIIvMze6893FeF+bagusL6
X4wv2q3yF8Wz8du7nkPNlSdHmzHbWS5LDBgw7x/ylCA+9u3uVIbgVnIofrGxgGea8Vy6c4sgqGPb
75vWiCa49+fHAGzUvIHAmZWI2+qnYpL58jQELc3+aqx8roiuG7aQkIbn3Crz4LyIEThTYGaUJD5g
8uGEUHxgrD5E1a9h+D2U/7qI8KLmiGtuWFcFwZnLBZrtPAq7eZzntPoVDVFJBxUggYaCoIJftgbT
92KNJRraJqjzXechsgIbYkjsbwF+UUOmdn7v+l6xGvDd4V+3OiLvJjRinxlDppdS2vnGaSL/0Raz
exiT5BSjgDQo1+PKPJSZL7/nRgsyLVgRMXGIGpqCLJaEGcVTJagp8SlaCYVRiOqKfR1anBdYB/oP
Gxr12wOo+5nM1rvLQfZ5u9bHyhPFxCqFZOuMQBjt7lCoaCSWxm3yA+8KtJzOpS7J2hovS62r5Ygw
ewwVldONkxl5+rnw5XgiR9hA6sSA/8w9TTyqkdkhiTGQ4KqIECVWNoiWq54RIIU7MwlnpekL2B4H
LgvvbFSJuhFF+gMsgeaqoLDd6rzsw0Wr5NlviZElGCld+xTCwPG3hkwBrThUYj1NS9y1re6df+R7
+e+iIR2CZXCbOp9xRbVAkgZzxn76dqzSBFswGMdkQgoekGN1oNjq4m0HxOMiu/ypchLNiK6Jb1x3
hogHmIY0kkzfqlG3GAHmJT7Unef/NLktkxAnKvG6bF2o12wXmbREeaBCT9gkNvQmfBHGu9nEzhlI
W3WmkDYOHiluuF4y1ZJgO5AzXhRPPijinS4tUR9EQqOKhu4lE4IkFIHhzKwGvu8Mmd04HIY2hUle
RgTVmTg9v9w87uP33ixj6tYpxpNVACMAOYXccDyZHgv0zdgv2KfL3NTFybJ96sYqGOKPdtSsinNL
salnnzoQhTErI9jG6UgEoOnbTrwXqcSSgebUum/xYJLGJ1GaOIvXsKkk/dKIiEPpxbtAwm7cUQjE
zV67miudkTT0NjG09hymcnTc/ThPaM8TPNOkC5kFsCBmp0B0QFbib7vlFh2T0GLSjPUm4Hc9xT7h
GIBBI2t87/h2+Ruin9JpHykDMgShPGYVFvPKL8SPWx67mM0cCSruyXcDVT+nbTnji8L+kfwdh7m6
GRiT8mC7FRRACquMiIsY/b8okxSiVBc0iIqjhsi4tDYYIpMlRFIbyZXrVsJA31r0VjRs8yX7x1Cu
DnPpEP+C0TttT3wzJ4xH2vYYLjTisRl0QZad6/5KY+J2B6kb6DOOpeYbf0hjbNh+1dsodtlKa36J
Q2KyXwGAWa+1yBeAJ6kl9ozP1dE1IUmG614JmZ2udbiAaGXP5hL2u0njJWbdjpQP00rS12RStNjW
LF2RmJzGDuSmbEqLhqKsGf8MbDQgZrrFe+mRcc3eZZzvelZw56JxSEZqKvo6ziFlbCeAEEeWHOPt
ENTBQ2T4aKz9JA72cCymR+yjrBfjwn6CNgWyaOzcRIUpy8hTVAPvAgeAu9qqZ33puhFJi4FqySps
5z3v5LhnCDBvliKQp16P+Nxyrsh8Nxmm+T2pIQsdw54SCk9DLTtUt/3BnPvgpio7gzkBHNMNCTb9
JhZFBZiw7L9AOk6ferTEWwv97ST7IdmbzRA9cVtq/1BbXvtSWsn0XXda/BJeO76MTT5iXCuece2S
Wr2CUtpdPJTPSS+I88NXV5EbQs98QPiujlZeO9u8HdzDUBSEQ7uig3sBVAC1sp8NS0OKqfyjvIKP
tSeQ7ZLKmWycgQlloUtB6mGw9s4d/FYvN9S2ROI+Hk27d3bZQExbZmflEeVTyV4jGe/ctiaqpYY2
lexnuKwcrsr6W5XauOmjxMFdXrAEvZlzB7N32yzla52NxFYCwOLuKoYK2LfohwslOuVnyZbLxbQG
t4/OWjwOiCmYHKTBfdGkNpsX6f9wNTc3C1SXP8ngQiYDNV+dqylVlxxXOa9l5qBynal5ykkyYkUq
huCe14LuaQzMt9RqoU/3Y7k82R6aVNRDVbeNpLcHg/uXSWH2iuEm2Y0RCd53fHrFH5Od4RadkHEg
SpGVAPahLQiKX7zfy0McLP4dlQvgDzq9Dxb4DTwgQ2MYZqwCw78HIBSUA8+bhxfQMrV8NKtVVZz3
wfxo9STgPhdtZpxtUTaftlXwBVOiX/QmKuvc345NiTnLl233DdVffLZ+BV46C6RzcuMi/ShHpdT9
LLqMhzERxTewpu4nclYTTTuVKOhbUhgT3tUkSPZ4pr3nQMy0VoDkvHOF4CveRAzv6OpjF1EVfxqH
mWl43rBtiKcIXbvmF9Oocx9FQpgM1BVOZj5c620yWqY0tMJLieIF6WJFYYYE0Z30YV7G7p9L+hQu
9YF/J7q2/+fiCD1lwLlvRlDTZwz71WNalsOyaT3kf1s3G5LXjCH/Ia7z9qJjaHimjOSZiDH+IDTO
2XtiZURPBLLlspl5c8B1pAOvcIj5xdWLHRDak7fJvpqd5auG4ix2V1afno3op2snBmZtOxRY/3xB
eAC55XH6gJKiAS+ZIMmw+d8LwMxVQa9LWOV9DYLjicIUTKRWNm5i7atqy54eJR9/JoDWICk/g7TP
ed6cYtyjUNcWFoEBEIJbVyuNTSpgC03xlc6uexFIjL4c2N87vM89YCuyCS5MLywXTI2bnjxe0o6h
0QIc0zfL985X9c9ilhCZUA64d1hGB4NxTymf4nKebpq2KuCN97y2poHLW/qajKyxQvdX1AupdrZQ
5QOn/rxtIKEsR4odJC7QmdQrcP313AFQLlob06fMA3yiDTOMFJFkgj/cmeb609cJV41vBMt9A9EM
pG0/9V9dV7o7L07aMsxhPN87rN0FK8CcMPZ4FihFrYyNZQeJToQtcZavaumCF5apKYNA/rA7Zs3m
kZiNAgCsN4kPM3CH+Dmd+uChFquHkgPG/+2oLTs2libdcMvN/FAA6DzHWRmxkWOddHQAnXYMQ2N0
5Ir37GjqAAZm19Hyu1bjPUJkgFTgFyOOZ26dbSVVD3um088OOVMP46yo22K3bh8zu3OHvUnyFmo6
4FQzlf3A2KgZlHweJFR3KE0kcWEBm+9dp05/mHc6T2ifkCpKh30eS0KIV+jdjF9OPFarWQvBZPaT
v94MJotSyH3FAlFaa1amfDL7UX6WS+IhdiWUOmSE3JD4OXfBmXw270/qEbGbm43xXbIteyYWE06H
3Xb5pUBZ9i/wTV3dLGxBI9Ks3PzXwb3xtozTfMyWbLh4lZvqLeMyMwlNIu2KvYwbYqN1wSl0rOtc
HhEiGa9SzdnAhr9qD6iTO9I+myD0Zm2aYe0yhbFgp5CugfT3bKb5CLYqG+b3xcffBHCE3bo3ezUB
0Yg42QeDEkYR7aVbcOrNbiyUvkyqRYuV9x+TCW4wQkCwXfTc80Ls+jMqEWBwNVXnKcYFAFKdk0co
8agxSOzc2VaKgEggMCaH14aEtzc7tfyNaOwJigpAD7sN/pUwtlvpNKcJ8CSq4C7bCyOeDgx1ykNE
vuTfiETSe2GXnH9zQBo2Gc/sWzpxQPSGIocSAfnlNMg7FZTlwwRD41QnVbtHrFwcrXZML7Xy+p8x
7apHz5jRVCEIRnRJXsuL4O7bS39sj2PGrppypg3LIH7STHlYyfJC5wVn+MgqcuMNZXSpXHLYKriX
MKP69qa3FTe1gfN41OMP3UN3skrG7BtuYsSmxciWscalgXQKdSpIRf8zqW0Ls2gtu/PIFwQO7NzA
grE7isWUiJ02JZrOr38hy1BbZSJar1O6sYqtyknOTXOeDXsBKKfUfohjulqN8O820IiqY6gkgH1Y
+zcKx4mOJvnYkW/gh/U0NRdZIzM2qxifEwhx3PxuY967C8rvzEjkDSHcL3ztH6VQl2Hq35xlFA/C
Q/Thu9kSWikKhNZC7sPHSbBcqhIatyWJb2Ojg8WVzH32VjpT/I4HPQjpPlE2BkVNoFo3fekqnR4Q
MZLxaqKev50X6R2lTQhpGeFDP5hTKzjekmn5I23zPq3a5j7FQnSI2u7YW05DBUj8IX2a039SdUZh
kbruRzuXw3e1tLc5guVLmyU53C2iYTliHPVtB5H5rSg3ILMyzZ4Jjbml0FsuQxm0q9+pf85j/m5g
nO5W0Srv60whdRCN4Z7yJbfvyL4cX0CIDFtMYR3g8cwgPjDy3XNn2YSQ5T2rsdkBFgw9dJ8F3nRx
g2h8jhQgEtPvzP0ofG43Zot7x7Dku1/Ua4oOkv9hOzTDAtx+8R8yvo31DpUY2q2yt/JdzTB22JRp
X3RY/L2OKxwSKpI1gey0MxyEaznF0zY2UAZ6WdR5L56acHpbdlHQmXSoRUHn6t/GNkaH1Xk+HZNF
F5+TahhP9I5NqAXQj0o95EllvkWI9Sm/UfnDErA/7diQ93aSWVAcjNLapOu8e1PxOZx6upu9hPFu
bgij029pPY3uxvArWz9XVVsUR5jO/q5Ssqt2flYvH0NcuSePCdBpQopNv4CT/sFK0ekf1wHJl3IN
i0X9srI9hglUqUO+SR7CIzKerRbkTDcOIuR+qZ7jzOu+0DRwALRWfrRd/dkkZXxx2rYDd9qrdGuO
zFno6zKynqPSfakJw8S8tzj2rZpmqw0dlH3Nzm7txTt02DiNvTMZCai9kYj6N5T3tnmouDUdmL3Z
WjLidR6rvQYRxhvRBT2Yr5Y11iaBN/ivMqf+zl9E9G5OOfiGeHaint/mJR8a4zR5pkGByympSZuz
qyk7G17i5C9j1C3PeMAGeZNPcddeynhKJ9Kf53ynRwOOHFMJpEHenyCv82BX074dHIZzACIWDYvM
sdzllqazITaVG2s/jmjsUwUhntbMeKl8uIUsetqQEpIFC8mNnzxyurnjyJfiUjNNv0fwLaDx9f47
kxn8/txHVNKVeyhS1iLIp+sf0SjIRJhLnJsJIfHeCuLsF2qSAY+PeBqQJ+zSmo21sFJABZID1rIa
BgYbp7KbjlXR6BLdp6vxNknZxtAW9op5RMZuduNPVcdWoC36cVMhlCG1B1mQeQG5gTES3RaPe5vE
M8APkxiLY0snluxzb/azA8AKc9ukbgfFCaX/B8zutVRuS7CdLK6zl5RxIANvJpb3Be0L/zVvONxB
nSs0u12QSqBQufhSxjpX72M1helI1phlcEXNngtVRYC/OI9BtTrirOodGoL/AYCIrYtqYsQ+fubM
ZCYLvw1Hp533BAJRwmqYXicqcVCVS4U7mBCHlvYO9RTr46RD/EfutfoU9VwdCtnLu2xFt9N05b6x
77ye7HPtI9Vh/sEaw87SixQZqm9NzfORtAawGUuCGk1YnD3k+KeOWb5uapLOyZ4KIDPHMXJq1uns
teGBBKpDlAAJ+8ZKkK9jsM15SHLICGA/8rKpD5GdG+gxoRDm1SkJmogkaeQ1B0STUKejLJr+4FKG
aBDNfvvWzx67etlPAT+1JxcINSmaQrZu0Hw2Q0qVTKSY9eJ7fjzsROdL6oRUORfZDuj6sT4nXzau
X+YWejKsPbJ5k1TfQXTNOfD65T0p+hXAkifSB3s6ea61EeakPjS70UNekKDMQMTTewSUxYFpbfZb
1Ll9i3gd+XGWXm2orUccgO5Vh0HHTd7r0SQwpJ8jyY+5+KUMU8NDo8VSjH3IyFcFFka0IFNq0JZt
+oEo2Vw3dPOTzfEzS0I8UZ5iRu5tcrpuOCdQbCnTqviCpm5unfwJHN1B+cGAwjwf+mWLiNr7afCY
vmaI82jGNCDETWoz0kMx4EG1iiWzR3oBI92lYOAQXZSWo77QsHmXyW6YlWIs9u+SSa/cDc5PDuxE
1aAYOP9JbC7wsm7dolu8lRPDwEbGfc2iTg/VHYjt1bg0p9MfGSXRFjFc/4cnqbFvGhPanYLU0d9U
Jgs26mXPCbaG06rfiBjpeD/ZfUKxFyGbQFFXc65MxUT4JlYucV6CEiKj2Xc1rF2uScE6ORgPQqbV
zrBXCtBQmfPNXBgYoekiDbVScImggDGUrXB2vTza5GlXB5/KqKFlCtBkIvPrd4MW0e04rXnNTZcs
u9pMcGeP2D05UM2gAxbJ2YnPKCc3BGl+fzMTDFeHBurEhYQI4gZC3ZgMk1qPOLjNEgf+Xbt0VPcZ
NxstmERLQ941xn4fAQzxw77CmW+OimHRXPKC1SoQuSUUw432WW7BFDb8p8b3LCaPiZTIVkv242a8
rstJi6yyVQvewD/k2FQb2dXGI9rCxX+z9TLvlISAAS+9q7lcLGJAaOuF/kdw/PyZUZChftHwkJji
CtamBTEL8ejppxSSzBF8XTzsUXV6b5Xuq8syD+otyWMq6cKvkoeszj4qw4l2pHZ76SnhEtlFqzwP
itYQbfspKr5Y6Bi/pa7mlwRlKbKHcjIpTTl2SZ7mKgS47Wc5BFHiIY4Y75llQ7H6oZhrvs3Ez1/J
L8fOV1Zju6NZi8+GxbIp7Mr1J8Kg4SBKlDaHaib+WgbB8EwtnP3EQOHCSEeEieP2D60520ibcpLA
N4s3LkeHL+4TOOLqKVpwbccJStRtbCv7uYGfzYJnQbue+rY1EbzeV/uF+YraL6M3wIMDWspYpmrZ
z0aidzTLXy5UHiOQNCyv4zG5Y9iAsBxrFG6Aio2wPLb4IljPxGDMIBnY1qmb4+e4hhbNJHH+MiNN
jIPA52ISKANtMxt/WMjUdAK1/UFNNhEUlCaxfE5pTTYD6/ZqoxupXhrb8l+oRdUSmkHMdt1kFWVQ
ttX1O96w8l9gUzmzeWEOEPqtmf+128RPQygN2baQE8N+nP51uNgTy3MA0BkVZSPzw//fz16xIy9z
BXbk6zfXBRaartE/3X9akoWFSvD/vp+Nia5t4+5/1yP+9//3P83LgbkG/cEeQTr4n8tZ+7/ghVjI
VF0UfRa8jf8lRrT/y7T5D1BNbCfwrhLC/xYjWu5/QTlx2c46ti0dy/9/Cq+1THfNHf0PNSJ6Nl8I
z3Jgm0kTL/P/sZ21aWqmzjam3dxV9nCU7Ei2E05gHCoxmahrxRp2uRc42ylYh8m+GlDkWlxfl8Dw
DI0pMeH7XXB2f+RYIII74ADr7yhaIn1qlsNbvSBwnohaIAUtmqxNBoGDEaQBhPHRbbR+N4SrFWMO
MZaPtQ1xiftPdyk+jgJaQ1PIyN6KbMRdlGCs9bGNSLCWmB/xnQW5jU4wsHOOZYpndBbwptUDnkTr
n5Ws3tSJZXeI7C041axPnuw0Nuy7PgX4uLVixA08jVad3o9NNd4AZsXj62Zmyw/QYOrqTNffNm45
RHdRTuHA8Qll4MlP7Q9O6tk6MC/igqk9QsPDMWJqNOlYN5C08FffiMGhZSj8NgbUntI8YdpoRRLW
KolfhG/kco/tAv77bBPmQahbopN7TNwmGwa2LrJunRt47zMHWOsPCCp9NabnZsIrs5Gq5fZZV+7w
u9qATn5KfPFod1ZKPJqJYseAYIJLwqdsqZRNWgMJkFbjx4+ThSextYwft+kWNgpTWvZbym9Q2gGz
ZHpIHKOByDSSbkvu1aCah4hRcXlys2okQr3IFn8vifl6SmeKuNt1ORuFMusFChrWIEwhCZWb9mMp
qUwiYvqWW4Hx0Dgrz6pkaJK/ZBwbN0jeYWON/aGvVDTc4vedg9DVRJxs/dF2HwpM40Cf/agtbhAa
lukG0VNXbEo0XEcXk3IetjOCgJPJVrlCy59rGgPp9MOOmIviaE9+120xXAJeV4vNP7MbmedN68Q6
2s8p8seTCf953sV5QHpN7FWg84WqJnA2sZGxj3XEN0E89Wsel4DtVdP8lsjgpzPfOkHERB7NyMQb
sDCQbbHjxY3ZnxSuGcVww1ua0DR88lkNhjvnJDGd7yqw+ukIDJCpf8yADOBhYPOJzY0qz87YVazd
qia94biKHxvtPbC4ka9ty74/7CJg+tBV4rM/YhpnnJJXjAQS6wneX/tJNpK8BG56HEqbK5YdsG8/
R82AIRHHSme/6EaxdrZMIG5hb1bzsy6c5TeP8+V2cM1mDLO+jC1MkQr3w1Sm9rizib0ajoup8tuA
6r47TsyZ6q2ZDPkfRiH1fZB4Zr1tgmpGvW8GKShl1xEvMAIquCJ2jhbRh33f7Ujkcm9ozWN3W6lV
uZzMhrIuvcOZsGlVLojiZWi8ZXI3swtNcv3ZBSUJyN7MWkVaCsGFVdHGbEvEFxiPzOjNwL91WDzk
pflUFr9Zhakwa2K9V5GY3lkl5wDJEt87WHWT/2G1zXMDhLC7VyBRQyHy8lKY2fCCsTihzJuZn2jS
Ws5aCOcBa9+E1ShwkiOC/5w4Qysjp8Ac7PxIOyZeSZdvL+08KuJlbNABS9dl0WM6aW/ceE48RIdg
pqxhyhd/T2Dr0IOA5xwgAwIywIRYo6I1nRMENKE3IitKoJHsowk+8WT2W7lxc3aahZy2iPytt95S
xU8NyTjAs+1M6kAOgl9t89Rjr5+NdEuDGu/iujROkbCRDA+qzMbnasR0FyJSgYQTZwXLk4aZgHWW
sD7Pg6yy/jDNDuLidjGrZJuSIY1YlzLXDF2TFJEBbvU9ErISFqA2Pi0VecWrTycJxWXiQdlgBzK3
kVG67hbHB/u63JidTcahf3Cbka9n/L5ow/zu+mzV2ZXJTui02Qd9TMGKU4y1Rk6sT0nzsFKTdI24
unV5Romb5dhPVXeGPROw7ph6uEwWSZe7QdQROm/DfFEzTREmFOq7XeFaetxlQD4fscd7AqEDWvcN
cBBhXMRiJ19yiMrhqDRetFvhREuImxEXB6z3fMcEypSbhZH3AwGU6sXyOea2g5qsjvNCk/BguSwo
4K4XjJHhfIyvAWAqfMkaS86m5Z3HClcJ+YjP3bDpKKD3h7onYmQr54EXYrtx9aRrGy4oZ0OJr67S
ctUwUEGcsPkAVA1yLXcFp1kQWp6eLmmnzSNf5gUhZ2GpExauSgMKDoL2iLuIhKyudoNjQSjCr5wC
dKP0go/G0MHHm2q9/FBzEonBCsmmD2NWU275K7o8HPpkOVmFSNNjS5wNjC49o0gk0ckWYFvXN6Gw
e5qbFKVqmy4IsOfGcb6ob7no/KKoXubSb29LsxoR+KQTmgmRcrRCYUVNzdgrv5skjkGHRv5tnMsA
5D+wob1pGMtTkps+OkVUicNtGizzC5NMH+9wknIdqbSpyQ2Vvf/XG8V8ZBRr3UUQY9fAGzKuMUKj
A9kUIzbnrT94PuraKY7ugYOzARGgeYOH2ZcDKTGjF98aThP8wbrqPiaAbeurjsZDUdOv0hrrqrKJ
VsGNwyG3ja4iHM34npHvd7IKdPQq1bGvqh3ERyh4lL34790q62mrIWLXj9Qnvap+SkLYTybu2g1n
DLklq0ZoBj0ZYj1K1HZu8iQcgPc/4SjwzlbtmfZhWBVH+ao9yoieYRuoVoriqk3CY45MiYUl4X+1
m24mL1rORr1EzcZctU3iKnOKV8WTXLVPsiS7cMrNPuCM05i4q9HB07gqphJVMhBAIdgduliNF+Mq
rjLlCDL5KrnCYejdDasOa1gVWWKU8Z+4nV+Mq1zLvkq3vFXFpVc9V36Vdklv7VobzqIVFLnYw0kU
nfxmd4w0wSoy2zgPSMWsVTMG381/FPYCtTHV1ksmGUFD8Ggh+Sb18A+hJOIz5a1CNNnFiNLiq0DN
tZc0ZI8GrBtpHRK2UqTTt7LRtY0CQsxbGY2FPsjSKn9r1zGbx/EqiLMTJI9ncRXK6cDibVQqYLAr
Vi2dw9QYBPNVYhdd5XYG5Rxy/asMryic4bm+ivN0auTP41WyR0gn8j0HId8AN7c8u8yjWc0G4/wI
kqogbGCJb61u0kfkBcgB46kB03nVCF7lgp5AD48fOuIxoRDvHvTSxKcccNu5SAyNg35EeI+leGQ+
M5YYeiCfAMXIdggCFXc5NcgvZPLpFTQKtllvRG+O/JEqGsWjYRSIH8Gr+4gmi0wWX/NVIMlBG7yQ
LyV++6Emhk6hUL7vg7Z+66cMqdpVaumkc3bT2kCzQ5yAuPhMYb1JarW7tnOxb2eDYsx67Svda49p
ru3mNFdVHTppJX64ILMtVxadqeEbznsXtV828yYMlUNG/6rstPqHcql+t679LUPgVUke9RQchp6L
t1r16mW89sW+9EmHo158xuK3Ns7V2kSzSarD4NpZdwLLgFjbbYu+m/SH+Qs+sAx7evJkbc4N2+Hk
7649O4tk+nfz2sun174+x3mY3Olrv4/ngN7fuM4B7OtMgIlA7nHmrbMC8zo30OsIofVqZ7r062Ch
vc4Y9Dpu0NfJA4YjhhAoL5+auVUERaFERN9NfHSKGhQ1/dL3D9rXIgxap7qYWevs7XXYoZl6iOv8
o0LiRN3oJ+6pTdo5fs/rCnpzYFer9L1qqAgXx7RuK6fuH8Q4MQ1JMPP2vWauH09nMw+IFTKx6ECD
wfY/kv2JdJ4cBPYdsGwdYtHv6inonkYjWg6KJdpHxXsL4H4igsaRRVriYg0MuWVlptfoohiJqBgM
4w+Uyd44M7EvINU5ufc64pYwtygsLCfMm6H8MTMft1bERXunxNqcAcSA/NoGhN7peYqyfckgko/Q
Xf44TFg+bV6F3CZo5Eg85P2utsJhAy2cZvqEW9Wx37egK+FSNV8ocDlhkwUTPLvo+Bw55fQ3j+p5
L8lIOhGbvejjEIC4omnwozObW6BJZeVsM4t2ZkuRwXwzXgKGzmuywicTWWDPxEgJO9Ro3POs1mSJ
8ol1G8j8abLjYbaII1jS4ZvHV960adZB4sF6pSk7CnWM2JpW2yHO9qNJvs9mRu92b5sUQ7sIj7N1
boM4kns6YpP4CG0kdFW0NzKkyV0OAdrST7fjAgMb0dO/MoYV2GV6AIM0SoGcX7HfgKo1OoeVBHnX
8e9QNy7xh3Bw8qkALxi7zTGtOOYX2wHx4F6RwGmHQKsAspC7hAJubLaBRYj0D0EUitD2Uxjk4CkP
mZi0mhiBIclouKlhge2jhJSRpenK9lyXdgSFN4jWqEFVyB3TUgbj/ajIJRqQ3wFSj4vp3q987G0Q
kYNfDbr5mfHva7yqiUF2yWBTFsj78mrx9o6n0amlpn+G4svgVNS40ZlJP4CvMLcQpySRRrObZTtA
Iu1TE40WA6+e6DL2X+0PUVuy22PP7Jqj1xWrgDDufqtuGe4nVncEmtsmiz+3BJW96nrML9GN5haG
uAXxRKC4RvFBZa/ljehj+cjGUqBwjMZbJEgX5QUuORKAwmfUP8MxFfKnZXfwkEqFJcguxssY0yXZ
tQmgBBvLOEjnHVX4L1+3ifd4BVNJ/ZsNOj+1kZMTXeLzfidUyJNFsEluVOfcbXlBQ1k9+FzDe901
6pOagvg+Dj/5LNIv03ZdEBDRunAq8DSTtLyzROme0sKsngk2Mw9kWTYhB+e2LFvnYOnC+2WXbB0j
s4FjUKXHpfDBB8g+TbB0VcU+yRvnubGsNUHXNyFDieIiB3v86psq2ooozfN90M3mdMzgYqsdh+T4
s0ATIuckteoQ4owPvZzgtg2kEHJKhtGov9xU+vNukbV7M0O1O5YTNX0qHaIeQd8dkVTT7g9V+jD6
znwnXVSlGxeY0s04DVSF/tgtf+ekRQ6RUkEi98j9l9mV8ma24UrIthD0xJCwxio1tzaV/N/MmJpD
A0tyvUw+6qDtmQOXbn/bSg7RDqN1ElZQ/qJDXgbq2FnzAZQWSOYunnCXVgw/UqKDXil3awYU5NWE
07XnmCq1rUEP/POdODi5DfLAcU6WP4Q5yqeinHus68icwhrNO0NzkwRQ7XJcMrk5uGV2Gm1VHeLM
kvd9Kix+oMkHp++WBcWOkbOux3gVKq9zEffSn/aeqD9GUos8C0vtxnQ99ykLRHes0Xg+ZmhccD7F
OfZOFH515pgfbC2rLdvA5m4EBbRj6m+TvLOOz9pxWxUo4Klo3AdCz1EeeVqf2cdsamfucfJ4dz5l
Xoh8WVxm17b2rh0sWyiA9a5A7ESPPGg0ZMrYDVzGe0zKOvSkym84qJIdj4z/zvpmhZ82dR0WgCQ2
yE5e5oyQgIM2h+lFEv+8H9uS3WEd9O49imtfrtiC+XbMDKxRPbTz0imy/dyp+rwsqrIvk5VUHQyU
8jRHcfvHQLb14sqajNCpXtrXZQio9lTqvNdTYh7QwJh8qot5rCSff1OoDstTlqgzmoGM2OZ43JLv
QBqHWFLveyqyL2nwg0ylxbygW/K/iKWiA+dD+QSmmC2Tjoy7zEFeICJ02wkXK2IJfJEZNPrDCqEL
0cQjsMu8u8qNcgs/3wCkMWCPwuE8uvpCvHFx8szG/2t2zoMRUXa3aP8oyKL5QYoZkprRwTpF3glR
hyy+ySgP8ZR0J3yXzKbmcpFv0s7dP+T5YY2MuUlUry9e3VUH2FPZDmt4oe+iyZ2/F505r2k6mf/G
pjfoBwL3AZnoIZHu/2DvTJYbR9It/Sq16h3SAAfgALYkwZmURM2xgUmhCMyjY376+0E3uzqrrKv6
tlmv2m4u0jLMkkGJBOD/cM535vZaaVM6XKIe3jJ/V7RH/f2ztg2hfJZx457Se/oduUl+nypb7Oue
RK+GRfj0oKdL0tlEOIbbEis7TSqikkLHIw6B7rC1S5N4HrCqDt2DbubooW3Qz4AK/3ut8F9ZK4Am
kBAJ/jUc9ekjj7O/XT++ur9uI/582d+3Cqa9UEwFM56FcQCt4E/Ll/xDGCwcJBhWzATf8IP/yUI3
/7A8nVWEDuELIrfNKuDPrYKL5csWvIpVACIvj13EPzFQ/x0TFRD7P6wUWAYIOO2mgLWAJU38E+Cg
oezu5MjBHofVvREwUE8hBeSWGWLxahHfpUdLjfO+U1iB/vJJ3f/n3uKvOFY2IP/05suSRdowHkyX
qRW/6D+6zRAF6MngcCPhdEX2ushwtQVt3YzQYtoO9vKcJeIcqz5i6qzHiBYN/SdmjdD3KlRnfoSC
lIUCtqlrb7tM1efRPiGSwYRgx+axbsgCjhvlXcxYuYBepr7cBwzBJw5jRqBN5Tyg7LHTS5WTAl3j
kyeeEF1lKPgLnRkV7jxiWrGIDcbSK9UljHPyq+K0ZXPRztulNyZXg0bh6jD3eTKYwk2kG5jzQzOF
4ixcpT05MxRY6ZbeHfi2mf2+aV3CVC92MYJAqEU1CmgHvT3OAjxYmex2SBHsk8eCdrfULoSPMeJc
j42m8WhHRJvuLQdtwgJdAeOkxd1wQENWmqcasjNPWMcMdmEMY6ahemczQ/DDDzewEsRhohI3yP1h
tVa5R7EFUJTscnPaT32izm3YaPshraP8gUFOT/U+6e/EuCqG5yTiTmtsLLwUgvjwhrA9IrMKKdVj
YapXfGE2emnBzE20J7ewTh5Vwz5MGrUHUcaDsNZ+yE73LjrOCDBMwNBXWYfwcpWmCU9VGABju5/z
cbx2VT3zZaXpqXdHLGTw8HeC9rtbJ7VbngvhiEOUEYhrkjOONbZMdgjxMHs13czi3dX8uePrVkaq
f2SF1H1ZVCpgJpqPu1Tz7nImvWegQOE2pWO7mJAIS0HWNuUPJABHU+7eQN/je9w59mZsO+M84ROq
1ug6HHi4ZJxuKy3j6yd0m+EoNglOVBxfmmDey+RkQ4iKepWh4b6S6aZfKug2zRjaJ9eo0Zot13kL
CWhd6551MafGe+oZv62ivGs3nNOKDpGAPZuwAZslP8UR36B6csSceSubwubRDUGMcqCytETbT74n
hn0E6liMVDz8SNzONLYVdgmdj1gvaoikVL1+ZAx2urXmGXqhOQiI83kcz1e3cMzPwgraG4B1ZlFO
0pLDAe34cTAD5xfevObRGZT33LaKPOkp6rQfqBnGc0yW/JOZsqrcjOVYO1crYjHlF2MPEyLo7QCL
jqbVO9atCQs3RmxAs9Iadw983OGzmkZM030ixDlpSLz64boKhIpjT2QqGe6SvCWTTzU22f0At3zD
6CF7UrGwUaSDNy5ie8+593tuEXBRmMGDL0zse6VTfcWjSvZTaMcXdonRgX6J/PegQvcT1mZ/lR4L
KN2OicDuGBk/y0F4P5PADA5aKWFT2hkOITWgog5Vbu9TvU7qTWwodZnpx/wJXeGrGUDazbrBuOrl
bH8Ec19sMa7EvxfaDZLqoUCi1buP4EaMD0il8t7osCAFUcBHOLrqGaRmuYPjrJ/bMczfosSuX1Bk
ms8ORuBDpAZGg9XUBhs7XSaGXZcOu0qpjMwfSK9qDcjTaH4ikCzCU2Q2IQSvJHOtZwEKa6BPa4O3
ZsZYl0zR7yAw0eBak04Gg8Fwdt7T2c+MXgjdw6qFanGKqB1IisTTknQNMbIhi2HIGyOgGLaPXgMq
rI8/uNJG0q0CtI8IhryYNGwUgz6tKdEBESmi6OkrctE3pCPkVFq1453biqzy2USFsq2tFFCmqwkX
g5dr/IAP7d13zdwfagASr8pk9rhJNPoXHI1DrPlB0HPbELkZfCDpWaxJrTecsBcML11StBCwRBMH
m5ph9AOmv8VqxzLHD1jJfhTJWF3bJlLiSLHu+b02vU8EQYsNdoJgR06T9lh0ZvWLCW5/UDOIu8ER
fefrXYdLcOqntmYbkBdvXPxz6Ocz0QNrlINomDHc0D11do1orKbTHNY5ZSGqMfCSaFuHyngfq97c
9G2UGts80guLhq9u37ViUBbBNMARkTzrb3XMCFmvZ/Ez7gh5NK3Z23jt3GwZJaq7YZTelyKE5Koz
FEp2po2BEaPVzDokm4NyN4Vjb6/53+JTTfpxSRaRYz4FgP9BFFrc9KsSQsV+Shp+gDyd4VLn0Tyg
czcQKDK+x3O7SlUKSHXuLJ4XuFriDLAaQ0mGCnbHLpwQlHHrpkOl7XJZutoKPiPQEdMuXzh6Ambl
SeKQ8Db21XMKaeSUNpBw+MoQ3CVui/szwxQKeGsXo5D1Vkxi2iO7MVT+GQLWdp1DNr+vA1h3WD/1
M+AjBwk6/RIioyjyvdwxcXUg+zcs/FshqoNzPjUDT9M5OgFnGHZR2rHHp6tJirVLtg3LGaCxN83w
DLkZUPCyg+wHfbnR6V/mthE+9A/3C/si12034ZtEyuOp3w1z2bt5TgGCIGVHxqVDXiC5s4U0avXW
Br9P+6Cl5c5s5XgfDYZ3Y8ERvhg4FyF0TM46YKlMkltEECEBUfY6IuXlrADs3ilHcdsKqVnPGduH
n8B78OGkMSnhZLlNtMDLqJ78D4zwJt34xZ0j+GaInQHUPeRdzeBNLwmydET01I/4+5Cd8uIITtBV
wE27z2hCwEkbEmsMco/biCSC5LBWP0UkMRLXmyNpym6dhp2XEBRjTU22jfWw2FDA/mSIaG9wft2x
/AFAtAzfwM7zfrxQbgmsco5tOZS7OZWCcI4KXy/AFYXqrcCiE5XMnqRiO7dJBR6OVSmr8sSg2MU1
xI4CzWNKSpykEPqdM+m50t6P2cGNWTFJkYCGYaLLln7o+YEOIspBRwqCe9H4ds0v8iZcIkPduP3Z
uRhktnm7bOl6vKZ7pxf6OWVdSkuNv7RaJwiHbR6tdkEwuJEHw6GIZbXsAWeqtfQ7VMWa8BBM7Qxf
8Tt1xQltzsNqCWNpbSVeB4SKQI+WrJalVAEXIxepsu66VuwnS7QLkl/nwWII9kIoF+LYuo/TY+ia
FXgeQfXlN0tMTB3mavSNYUmPyScP35Sq5muKrXTfLDEzyRI4owuREKpBCM2oljya0ViyaVIXitEh
GGMLpyrLPr48HuDAl72MHp8tU/PLS5ecG0bYZN6YS/yNzXiFJBw1CkIJpiUhR8dleO40L1L+FJbl
OVrCdNrvXJ3wO2OH74W8HXI60FQa0uIhFveDrc7Ndz5P8Z3V04QaaG3kNv3sWyHOmruQ3Jlik3zn
/FSsVhce8pL/k1IQ21ug7+Kx/04IYrmLDDzpheiPIPN7d2sssUJumXnHrncyl7JHH6mAJW4xY7II
0gkSFMceXdETjmzxijdKvnJTJ/3RsBoTJynZRvN3zFG/JB5NZGQWJ6JOopo1Hq5z5juES23c2Gso
WRmxndgOax8QfuKR7fcMXdLRKaP8QZAGxiDIVT38I8ngme/Ea44RuT+vhCgkLw2uq/iMnlC6B7sd
wkNWAv6C3q/90o0kOKbfgU86p8oBSBmP4nJJhDKHJRyKlVT7yrddXSxjZio3LzlS9pIoFahMnGYr
JH3XDtozseMoWe3vGCp+dX/ihyCEUFrjtSLlNtoATw8wIVAeEWrp1fYT+Z0QT/8P/Zjxz6lYdJkQ
7iCJmHSqhmXR+f4V/sEOmb1/bKEuxVdzILn6s4iLx9qo3kwvfxR2wcHqRLCcVfxDoah6+Pf94BK6
9Vd12/L2Utddi+pOtwCh/OPbp4ESRDloDJ0CVYPOqYozH352+vfv8t3R/vPbEH1Cx6nzPvZCU/nr
bzmpmdHqbCFCDlt6wp4x2trRTM3dW9EM8wpfaA6TxGOYT0ykJjaC9Va+MvpseDPGycZRVXRnWeXt
LcV0f1k+srW0dHHVhmp6E4JGgaRroGAd52J7z7anDLbfv8T/a57k/3cYHgQtFuOTfz2PoQf5aP72
v6Hw/PnKP0cy1h8s9ATXmpTSQyz2v+LpyKJhGGIQXMMlsnB4/i70NPU/LMOWggkOcs5l8vL3kYww
/0CYqfNKz7MWdaj4vxnJLBfgXy9QwxM24k5APDqdrGHyI/z1AsUM5cmms/sdHhLvcWBqcQeETlZr
04ubT2y56WnQMen+J6P0X6bj8CxfbvB/fGcL/arh2khfhfweOv31nUmpRcZv9/1OWl2wBf5tVx+5
YFdN2oRh5StiZNII4f3QvWX0tLOPwKxC4+zg1FszX9XlTs8qQ6wVwGXywgMy4yYDF41lAPsl6t0k
mBUENoGbOeXefhAIN9eYjRjcGkOLb6oCgvlpohgxW/zYO8Fc7T238nFJSPdech1ZvI9QqH/ANMU2
Mm0pfMllYSbjVgFrid4Q3VtBkPzWNux+4+b5yYqB7AzhdhpYPau5+GQSsY5akqNnpAgbFZToKBrj
rJohefC61Hml76x3JprXc5NX2EYi25JI5UIZPGt9Fif+HGqMxV1iiNnl/3JKO93hLtsG9LKHVozJ
htbxnvQgZ9uP+bwqnJJ1u1G8xPESjFyhwTAGzkdXY3HliduUs/6zk2w5YUt2GZ5p3RXVsHFHkA/C
ROoSDh0vbGp7W1SExkLUBqNfNQlTBfHBKIK+1rPoaBULR5ibodnsoA9tkckSBs7elV2Dt2N9p9bK
njP+p3IgbU8NCGm7+kxRQYpt0DRYgFS3BYWRb8rG6sCo6DzFQgXAhzhpP3VNc6PGAGGKHXYHdDaE
mcMYO1iM+VZaD53aaLqOeFWFRGdACzMz0lp3NuiSNEiIcavCnF4slTvPzoJNQ6+xm7GW+D14Beg8
Rpix6Nasr8row31n6drG0aR2Jc8E5kxZx7dphuFO/mpmbbC1xAnOMvJhV4taM1nbbpSHG8t1gLtT
PNEHDqalPnDBoXSsyDnQ1jE75vews9wL3mnjk5ox/8Kikziw3Cq41SIaultYpmedZUAG3kGPr4nw
anwE9Yntr3bMzao6AoUiIoJOg886afAB6Gwu54UYH89rdsqaXOl6KeU6xnVyn8PmwEhDnHq4QpFZ
bEQu7KuFUmsp9czsnKnc2MGsy3LmU5H7mC+gE6QDlr6pZTELH9sklfyMbuOik4ZDHlA99Q+C9cXW
CqMpPIKHBWCD0tF5V60L6zwgEeHKyhvlWu1owW3C9nfQWyJ8cLCzPJq5oQ6pwShrFeluuKdnsp5K
BM4Bmlw3nvgwF2uQic4bNCXSQxJPyv4FIg71pes5w2MqR2GeQs1qBt+1BxZH+KaMX2VdMfExc+Ml
NTF17NrcsH4Xcgi8LVhyjGMmzAC2X/NkazfUNQMbrZqeUbkJQB9bNOYaAx2+ahMP9VMnYsA5ca2d
mkpnpsU/uLDD2Ll1JAUSLk3KzTabtbvAmr5kmH6qPDobPbG2umZtu0mYq7wX2b6PPPNOWkm8Iaf3
jF4d6fEk0zPxOaQ/ExhEC1YpqDxau0+q+lrgp7wHIvRF+y5XTdnkEPWycK8nTnUpsOFsBZnLW2fK
qy2ZuvF9FGjtDjm1i/YErDy0mvJzlk2/nXJNXgnlBLZOSzWcA5WOv/Mc8ihJYSI+AdxnaJokrgjW
c8GAetVMtvHpJEN8xKacnTzHuRsZXTKeVAbh5AZqffmrLoGZxCunnCwUfhpJxKP21uahXxAPsi6k
YT+DNYWbUvTdg0ctVK+QUbub1o77Ixl+v1Co8PxQpWVRzrJm9mheLz2iTYhaM/Fe2Ll8Ai5i6sAo
v9d0g0RD24Q9qpdDcHMyKzWfeo3J2kqf0vaQhnS0rZYTizawK/BhDZfI69vpzm1Q6ExticyGES92
OJvgUJ4W4afLzHmjFba7h27PL2Y7+jpj0IptWIhnl6Dkk833uMpHJnHMzPQDivprH1j4EcNg32WC
+Igcf3YWOZdKyOjYSfs3p1N8LaAj7zLQZvSkXCnqQO7WuK4CmGB+M886jkAVGgUxNHXzFWsTyguk
jPrZkYUihwQgDRifRktGDPF9eBkjKKRTmCIlpG3IoPH/WjLid1NsjqiduGF2Nq1Nv6+gRFp+3/fu
lUFQ/uLwPSEjNJr9hPkTaZe07tVYB59TlhnWIxZNHrPtXIArL1umvovZiMSLiuoAzYERgqepmpm1
w2yuk07/rBjewR1W8444LOgRsbcZm+JNwzGdI2RTYmTWm5rOt/rB2MV5RykNH881mNoAthrozbFz
GIl1dZQzIBSV0KGzfqiRYRYPxEIVOIjjZqOqXLvPWiu4jhDc+UtJ5XStrQ6/a4MU1dgISPR+GB5y
w4HH41oNNlVOJrshTY/ROr9CdPF6/at2xp8Tz/fDoBxKBV1Mh3hGj6KNtdhrLChWcYj9VYgMtjQJ
Voh67Z3bUz4HocDOGIV8ydFonRI7fAlNho11O3ABBGA8oS0TKs0OiEh7bY5upEUyziRvXRsCP86l
sW2nTpyjEVMRbn5jAefEX2MIgYGYHfj3yiWLRENQXY5jihG7JpoJNPKuclDI8w0NPrWguYYLj9ty
nJ+DrOeDzMvKzyUfbAbj71K6PfgKVT0PdqQ9gbhp9q1nd0upgW6e5JldKV1jxxPIPYV2FfqEU0tm
jCLF0mnJPYsPYoQS715pE7dvLqw7zCeszDEmrEXTj9ZOS2Xs4w8M0ZakSBnNhimLii37RLmg3hc5
MhJSz7bRksXqXsaV5wOmVq4PiHV49xywik476ycdDO1vPHLyoHHkHIzeG15ZZMsN/IuSAFpbL5Ha
j8SphY4e/NaJ690jx3XXrATgZ3PMBjuG2nZM3oIRAQjHUbBOw14/ytAad6NIzA/PaOpzj/Dwjg1T
OqwWPRoswQ47b+iRvbfq+yQ/hqKLH0PPIFfC7Y0nGCfBr4zU2R7MI1xatwnjlAeTERwSbD1HUA0I
NwFCe35oavFxWZCAlyCoL9yVsF52OavNFxMAw8pikLPMWkZvHQkykzuUOf06k55T8iUU7NhdV3sS
jkz2caRIdB+TeVfoU/9m2VBbOvyM6AEoH66wqtQWB7OHaVjXU8+3I3N+SpNp+tUlRE1tKjdNbyB7
+psXlUgs0xhpMKVtx7JDONsEBemLO5X6NYiK4hjRVu8mgcuQw88hfofrALOzVSPSzfXsZI/a+NQP
ubXvkcs+gCVoqSZlcI9X3iWrwTVObeE6b1o2EHUV1uWbaQUHVcIlwl98RZQoWThivQApYffIwVJE
tSuyc9SaJ56B8H6Oz3AFAJo4TbMrNTQmqyGIiagk3BAkolo8o6hkuJhSJBXXwCMHyQP4tBLwTdYi
n9qbxEhC2hs/QQG/+NlEug2psWkZOgcD2qRZQ897zxHB+YY1pZ94gDGDzRX71SwjtcED2LaVZsHi
TFo13i4sVk7mfSRxZWArBk1Elua0E31CLATiyi+KFpQW6ILidThnCKe6cSp2uT00h6ru1Ts37XzT
QHyvZ3ssoMnzJq6mCz8hecWH0R5CTTLD+3JsxHVQCGI+SlOM9QPrpzp71OQQOpu2mpOAToQGD+wl
xM0VmUhjsLZEr3PKduxJV9LttZ1dwQPPrSF8Gkn3+D1rqcA5IsPSR/ga7rpGVw8YX4z3rvSsp24c
oD5NjfDeFoX4jAuYiUpIBObXOMjkqBE+8FFbAgE67uuYr6OS402nQP3VmECuw6EkQxdmT32bGoNn
xczwm4JNGTzV7LYOd/WIp33VKPI2JF/3R4qX4tmWumyeXEZ3LenVAFX9OWHW5RuKNQipSLigTPIw
164dMlGCZA5pJO6MKT5UBhfhpgu1IKFuV43f5njiMdtz96LZdyFWcx6eoOB5pHybdXUNGyeKNoMG
dIMMFMfgfncQaOP6Cg912ZnvGbF9u8LwqpfKE92HoCVa11ZV3xobfpDWb0J4rZtKue6pnUJkmFyH
Kwhq+kfiIEENCTM4LE5HWPK99mZUpe1ifZusd4lk9di3w7TtPbe8E7MpH0LouiQVhGOwt5LMh7yQ
HqioozMD0WFfQyPYd3yEH3geetQEmry3oqrZ5hq2o7Z07mKIhsdWCmMZDCW3AvXyheDjDtmi1yKC
RWeF+Mut8fE52RScygabpWU7wYWgmB9dGH1pfT4+IFYI8HljZOJpDX9kpWTv/e4W+mIEh2xL2Eu4
6QeBttP1utch4c7JtKJ9TbIQY8MozUvRIV1HeJyDYMPbaUX6WlStd6spZ++ZxGL6iuPqF8hMoB3h
IIiJSOUTsqz2OIeYEo25HeDp4S1SWhpd0QiSoDI3JtYQdNF+blTteQysAQFBWJFZk0cPPQOAjVlB
z1ux5K7uO3rSz3oS1kOUF+12Qpq7Um7Z3PX2kB5Kp4YYOsblZnRR6q7j3Oz8scQ13gzI39KundnZ
Ec5oEKwFlgYJ4tQmuKyjUlwYJKcnZLTeW+zUwY9vFrkdUqdxrPY3BtXTj5ha7Io1dPZnFbQkSKbp
I7ZXpLcDErztDJnkaBLycwkUl3yveN47Vdn9iGNc+gHssI+JDbi9Isma1UrROxfXoVljiM7dRdaP
von62F3NWOV8d1j0ZBM9Fq7U7VxFyQVrQfCSubY62gykX5Du06BGMqcT7IuNWxGgCFDIuHeQ1RwD
p4dQ37OfRmsvoCTlxW/U3wykY70QTy715FXPOfNWUxGYX26Y0mF1Td6cCIllb4KHK9xrXGiGDxpQ
Q8zWph2airSF8ahZ1Ws7VjWaTG80HlOYiE9OI9RHoiHvRQrd1QWG37p4YzscfAytDtfIC3m+nICk
yHvmzuHL3GBNJHg2w7QDNdxqSM50g4+wHeiv7C42P3tZyJdS5DOgNqf8QPdSbRAYO6+lZEhjQx45
h1RqpEfy7OAHgr+UFm5Grptj3TyNp7chG3vPJ6nuGgOzELLs9qPLu/5k9DWxFsIl9LiMsz1yVFz7
GErOCt4CCSRx9dY4Ok7ANNdudpbarHD0YGU45E/golsXJYbBEpDWeCXcKLL34G4GlG6ASBa5s/GC
IKDELYid73cPYHvrNfrkTwlr0FUwD1AhymKaXlN6yE0YoBtQToy9n18+pCawwBfT+Csr31IFNOdJ
76N34WF9cZKCCyg2Zn4GTZW3xUU1MggKixcrr3+rNEafWDtT8TE3wfS7pAY9gGnkMcSWYQOTmag6
lPk7Ocafachgy8AVi176A7vEtGk5mkGetuZ6iBLYa733wkOmPE6NetSDQewQG2qnMGldvk38hiRA
2gCgy3PakSJHvuKtjZV1h2whP2PvZbNpAn3NVmOQsqsoihO2G3mIx4nLAdSNfZzzpis37FyXYyrf
piX7bQ/WL0eV4k4DlgWP1b3E4RSBo/GgzyxQrYjL5xMmJu6QFKk4rwe/JSPdvvR0UFuZmS15es49
VGNjx9k83FKSoCCsGJC8Os0edplGUCZgmObOhve1zITewUbCAMurwTA3qVYkd1R2OS4snleXiD0u
0y5lRyFyTov9bELjCcxitpi/ze0G8Fj2omdOJlfe0MgHSgPCQ9MoDQBZxQtEylH71opwzWQmSQkK
0qEbTNyXWeAR+8RKcNvO7ULa6crmZDVLTIPVieC1XlhqqqnAly6kNZKh8ABJPOgEMPf2gxl39QX4
a7Yu6zq4x2hgXvRveFtAmt+p8zwH1iFoNxFP6oQWvDrF4Chv0siqbTFgwl7Sg4s3oGrtHcM1BTvP
VJQ07sKQqxEoDKvZqmDWWhMZvKig2oU6hwJH/9LmMD30pLc9Sp5MeMk7Vnx1BaFFzm66DZMu3Da2
PhN2wvQtEk65BPjm7mVM2+oBg7fOpYfnYRdpZrGXBAl+oNKGMWpXybO0ydrk4a1q5o3kkFUMr4wV
NzUSBFsXLxJcZLnR9Z6aC4qfCc2vW7B+IchE2j04So3Qnt22Z0u1YACNiYjDFfy5EUt/Nj44xH6t
68nVDu0CEdQWnCBrlPqHviAGtQU2qPKELBuskrTruxRQ7h0Rei2Z6gQoGfPIQcof7UNrufkZhNqw
Jci1cjbFN9xwWjiHlhlxj5fshVHbTcGuS+tmiRIT/dUgcflFytl4cYciRHw2YSFmcsXatpdJ7DsZ
xF1kG3H1lCqK8W1sq3GCpbMAGUn41ssTAD7BSLYqBdctww/AwWmoveKuUUcX9TmzZ4poFvpR0t/m
bwpk6cj4MXJm0DaZpzHsnRFsDRu4Y93vxMnn3dzBlkzFLG/uN3DSYU1Z+wn4mWxrf7MqkzryQANm
UnTrznPNm3ItSuTBi3HSpq5XvXaWmXz23yBMzx106zCqBv/6TJjAU2zNxVttBiQUJUV9hycXNmxo
1+qh/yZqChza99XAIM7srRySavuOLRdhpAuzyzA874dWgu9GqMU203TMo3JF/pKoRTpSAELadgSf
s640ANNP7YFPYfYVC9erjJUD/Qq+7GPb9mB0gml+YnxpH91aOPfmBJ4MW5FbncNuJnuwRYb6xdRA
2kQLCw/NfcPqQBvJC9poztDsmSHj3sV2P77FruSAYIQ6Xdrccvwueogrp+vIa5TeU9oGxTlsEF+k
sknxJQA4DQQnwV5xzMAaY5f7yY4WJipBRR2S0ZKt9oqps/3gVqZJmNVAOOMmdibU1a3JpHbTly7J
WiY6wy3HiLjPLK99AEw6vzI4Hx402RVop4xsF6OV3LWqMp9NpOB3rMItn/DOQcdXBd1VkQh+p7oM
njgWT/mjrdLoPSYx9UQecX/faAK3fg6SHmibiz+GryDj35Fr2Ncppspat47Wv5HHDXpcUlxvI3tM
dnoUj3cjrhEUMJiRC2wJ0nsok2bWkAOJhfUUoc+JLcN4xJ6MOCbOoaPjIhUo4AHklp6ElYtawl6j
jKORGiFpX5vSUDfEevpNDGZxN2k2xN0piOt34gjjq/ym8fa1Ky86BnPGOIVKij2hk8azjDxximsP
nWNex6zCFZZaVjQIM46QBIKfcQp0vvqG/w4RBduq1+sh2PQzgTNyMmnj5qbPXrna+n5dZDEnAVPP
8Q6bVvCTFfHygOMmslnKvqKnFQfTaOeLLnDqRguVOKzhE/Ns5wBSnv6lLAxpG6/k5EPFBEx1IRsj
enaOY5jUZ2uAezwvBGTVWYtDdcEiDy6hXqsac+cvSXbipsm6DT1Elqxb2Rb7wpohJPPc3vROmT1a
yLCOmihMYtem7qtIsHCuZzlZO9LRi31iOSM1WpjXHwZ5b+CDyYi50SIx/a4K9ZySZ/OAjiZDVeI4
j7No+FfDc0iFff0W4pShxVs40W7sKA2vD5zRjs/wETVZ+5MTKHdXiTN4T9psmPAy80bEfqmi+y53
1A2FB5HUM88W7JidhTRXb9v73HSyUwXk88kIEJ+iUHTu5VgwTdCnvPsxM1ZbDuReXLB+q23g0JWs
wmLIbggt0mQdeYnA8RSU8wNMEr4Ripsz0ZvygeVWcch0I7opYVcLTIX0rr6m1QCi7TcNlo85GoK7
vJ/kkZeFd9zd2ue40Ln541sU9KlvxOX4QcvsXruF5D2N+VdNFECedkhtIrLVROJNF9lOcP4Hc9g1
pVOuIcs/ThBJ8DkRMLSSjC4PrdLRZpmkgfuJ0OUTkiXqCpDiEYV0C6uG+xqltILjTvvKhgbo90GL
8+DQUrb/cKJS3ge6DnbZMsfmZlHQ0wlkNuhVt+OU60cQ53FvQztHmK7ew3RszmxXf5bNQkWvWmXf
RaFwLoMsrYeRccaPwllI6qkRQFUPO9Y3UcfVNOjhnqdqcA/XG9K3zkwhbTrxuyoCeNJKr5HgGKXS
4jVj98bYpHD387VNiXDqNKd4NYFeUnR6lCwRE87UEAOWxW8EfGdUL+xT20PO5+tHdVvuR1ysG93R
Td9F81budBNsdAEckaVVC2BemoG6sDvs/Gxh0KPWU6dBSzNmwYb7riPKwUneZRipUr1HyhPYFLJO
wt7KnDs6GAGv56QEil6xQO9dtjmMeyv7o7ItgGFR1sK+gFC+spiRYIxkjnHBCcxDznNqUBWtih5t
/J1b5OrkvsAk+iqHafyMKVuf6rHrmhUkg+X5T6jMWcLPIxd7AfjXAHKIbXZoehiRUprMOT0eOmMe
xn3nOuxhwLty0KRtdIEIpH9m37kBQxVAq2kmDq5pyRQIFkAlvxQoE87gEQCE2R8mG4082lQ0zI2y
sdcD6ymqVRJk02uNM529DeEGQlSc+QUhpD48HbxlZSA0sg+deL50ccDTux2IS3DApB/DUSHestPJ
+UnyOSZFqbPxQ8JUclqJ7wQGw5vsa5XHUbNi0Ib3IPnOayDNakEBys6szx6wiWBN4jSeV1USf4j7
23jO+oY9iihSks2cEdp+oGkHhuw55MkG/Dw/BjfdKuhi8czO1sxQ3wkk7vkSOYGerbiCJbAeOLyo
Xb6zKQKSENSh1UGIb9Cjj2/MmwlRThPtKVy6q9zFFdERaQPjmP2gPwBggsue6ReAiYIc1nI5xDKP
gOiUwG+SNbEL26gI1h7D4dOc68aR5JbxitINOqyxDMmh+axY0wjfdaXBndULX0uGB6js9yYyabpr
9dZBUD5OQYGgUCs0vyVIYDNMdf/LqOzk0lFOXMXydA7nyd04jl6ctb4iX7rnv+bExglhdEp/05GI
XRXGhkvaDMIvW51IxBrEVrxGevsWddVMKEdfnOHqLOZeQ/MtEeSHzHD0n1nVO35Yuc2ZKMPoLpjr
pFlX8RBvumyYf6rQjPbo5ZwDENdhT73OmJikYfu/tUG//iteLcM2PfPfaYOOH3ne/e1//AdvZ9Ic
uZFt6b9S1nvIMLjD4db2NjFHcJ7J3MCYTBLz5Jjx6/sLVXW/VKpaeq8XvSiZlVFiMDC4+733nO+8
F/X//McFKDi4nj+btv713/9TIaT83xRCW6GVdxbC8aD9H9OW9xueK4mK4Iw2EHDf/lMhJH9zkM45
RKAqhc/Z/0+FkOf+xkQBRiDyIARfvHz/HYWQOJvQflLq0AYXCoUQMJw/aoOQ6EVODzBgX6AzJkLr
bMGObVqADO2G65pDb7XVYUi7heSeeKGnT2QkT3VzMRNueMR63ezmWMlrv5zijT1PinoexhWbYLG1
upBhWw3pqdr1nK02YUvRCGO2PWeIzMfCxUKft1RZEwizPalANgEAYOohTjQ3DhOtF07ehsZ7Fe8L
Z+zWYw/UljdbH8sFHYGXlMW2KGElFckg2CJ08h5o4zPHdFmXCcHRw4bULSIOU1HvsyIrdsM8QJGp
R79Fv+ulD1VTAudGwBRcLvSpOYdUU/eJ/4bODHuy+9gRVn+PXCOZLxrWsIvZBO5l7SLmDkk82s+x
+CHSZaFG9IHB0XRFuM1GPa5Dt4Y0H/vhR47lYrMswr1o0qEmxaZc3ixyDnFeAid2wkyeCDOYH/uM
0dpFy8jQW+uchhZjPY7W6CUKeVWioGEjzvszCSe8kCgHvjNaH9jZamvDnMZhqsbOqFubzM+0zF5w
vtQvGLf6gy1q91WdkaBrGw//id4qzpjfM+NpdpiP/hwk7/UEue3plpAvz7FdHkfrnDpPC8R6tH7P
ol9+z6Vf+pyI+nNYff57bn2SE2FPL6J+t37PtccIRFxuQdh9YmNzC5eU35LAjqfz4plu25rJOpyp
2piNfYf8W59jxvnf9HwXpUmU9C4K7r74akbuwgYFR/2cwXRGYoFKLXpqvRFZJTKMBim53yo4N3ZB
iJfIguimQI56BHIV30pKOqBhBpBGVVcjM1nLMDxv+ni+DaMzd8zQ0Rf8SvfW8Ce+9+nUO0hj6OSW
c4N7XVndtC3BDu3CRaG4IbPcHGNhoRaPnfBrrn3+JnxvMt8OTqyttcOjEm/DsXHvld+G7xrWFGUr
MUWcR8jvXIAGpJsY3rC/8xqnvETQ1nJoqsxdxcAacqBmCLTrF5RnLtO1+0Tk0ZdkarWeAMJsZ/pA
OOcrh3ZYjraGbKdxaRFXBHnfH1KmVD9A9c3vS7wwSuNjJd1ex/uy9RjwSkeyaqiJCiyOKA4QQngJ
4rlVPeTdcEViUgA6I2O4vwpyt6INP0hx0BIKB9QSTpi3AHhrsiUGE5U0Q8+WkIaYLwIpAyMfvEQx
nPVqC1MAiveSeZmDfB4wQ29/snVWR8osh2ZasXDiaaIS1bSFhunkzAqvER0VDc52+nDtQRxnp5If
olzyg23n3T1Wt/pyOiPaF6cRt1wUDQwsqKdn8OvRO3bQ5FhQnh/rGTGZcXvOzrnf6RuVafchr1tM
KUB6mLwX48B9gkzSnfFPI/3U2SSkefm47rajYTyN2Cp60G5NdTbU+tO4FUeTqbO6Zxho8XeSRcbv
UZgOOx+bz/VCyXVLpUoNNcviNmVmDkfXwBg+axTFN8tQfa465UGuIUCruuSAC0qCIeI3fklxSGPb
vm1Th6wqoQknAIWcI8m7XAbUewHShW0yBPklOQHyWyAimDVlT+Wr2hSJHxzdZFtTzSBDq7MBj4vD
GGBwJQkEgVchLSNlbhOo813ryA+9RD88HeiVBGhRCrveTrDeL1EB5bgQLfCXq8aott5ydex3DqP6
yT+7ruy21ffVkt8xvyZlj/JkNYig3AGFnBlKyb5+9OWgL8gMnwi/E8lH5cbi1Mtl3toAQfeewJgx
pF6ylW0SgEuqsoObYA7JZYyzrKGS41U32+q8ppdzpjZNhzLOjybxhmuJkU8SC7OXI1ZagEXJtcW6
d1XYvkNz0jKbWBKygNKgvZes87c0XcNNaSoiDQZ6dnt/jMWt34vs0Wmt+NNRpY5XeGWGbY/HmjPi
lB4wMycH2M3jvsSPcKo1QwFB2VnB+UVfs6lxDF5FshgpJL1x+Y5SoT2kWZHcM3tNj+PU3eml0vmG
1fKMcku1+8a+rRnoZaS7STgtdzD22tXQRuBfGm0Xp6Br5/IGn+T0nE5V/JWmWXTfp174CO0fwZpl
j5oIijZlVmDENQh28z5inXlBp4h9zl6CtU7m4iBEtyjiMhxrV4IEdRDXjuqumDx1mZsFa6y3jJeD
scQ1KAUF4jJ1QgR+SJSgno1H7SZMSmI4rR0iKix6TtftFIDWe6laIgWSMAa7gSHv05ZeEl+7BNS8
Q3UkV75DcYgQMSNbM6VUuowT4taiObRWlIDicgmK4c1tI1LPhE1sIrvYftAFM4soCeJ6lYQh1HxH
lKcGm8c1GgmyuxegT5/eUJXXccDymxHTQVRAsCyrpg/aj3ChLnOW0t2hMbJOCzFsn+Dv5x3dpeHB
UOUySRUIaD3MNqeoibJ3zDO0skrtRjekLNnFes5NsmskgSeR8b1jTwuD3YCe34UaHeeC1PNxoy1Y
5zXAuD2dalY6SHrJMXGi7LJqwuk2DWKfIBU7PbV+0HA1u+YJHJmhP0UZEJVzeKDiau9HaZYdAFD1
2KZ6uI2H0TsswAs3AUfUiwApHyik8tgOluAwgAJ1pVJfXerFjb7//5X4n70EH8BwTBLFHUSAf3kL
zsG1f/g/CAJR4d31n2a+/6T52P1vmMD53/yv/vAf/6UTuuc7DgfZ/7t6/+Wz7f6x+iyj9/znk/m/
/rt/nsy1/ZuNCYAnUClH/IxTCORvvP8eunXt/A5U4HD8L5yCq35DJ61YFZTULrU/P2qrvov/43+4
zm9SYAbgPK8ClO/iv6XdPxOYf1bQ+/TgtetrD1CLUpjZ/ng+V8KKQNr4ATy5PtuBtQevGPnJhiTc
AEnJfPzp8tz+8xf/jFBwKHB+/Tzati4kCK6I5ov88fNSdwqpVjTqhayNwIVl6VkR0NwNTsl2MTOV
LsIFpRrCFjDJkOURSKWx7JkHhzkMYxdoyRAGw+Zv/q5fyQ5cB+EGLBpArOFeqF88DOcZlMBcGezR
v3zrSv4OZ+RUpRZ5cDtx0iy+ZNF6Zhcm+bSJ5ytpevv013/EuRb65V4Iz2GkaGO59pAO//HaMDjy
wzNGc1+jn9mjxQpPAV3Fx7/+lH9zxwGQBbR6PQ1MQ59//lNisuIi045Jg71XyYPMgKjiPjiMCXja
ZoT+89ef9m++k/SYgnLHpSt4kP74acY1jg06Wu91qfwdKUD5Ku1r928+5Y/VJQxzsqZ5IzTkcmpV
MAF//BQ3hCo1ylDtJSEqqyZjLFnm/f1QJB9//XX+zcWDpu47SvN9MOP88kHSgpj7++MbJsxoCyv9
QkCPjo7UIC/Nrv8fPoysY0grQtrS/uXDpl5U8O6E2lek66xzHHCreKDBVCxYKqbUP/z1x7nne/HL
84e1CE+EYEXgTPvLvUpoBixGRWrfcP5Zwd/Tl6MK7fscn++xIroVMlTj72J6gQeC6EhdhlD9nXl6
uRpLFF8INMzeK4th42V+6IDgwPPje0G+kZKOeOfWQKeCuMSdgBeeDlVB921l6gV3b4UNcg16DR0T
kDcSI1P/zlAO/Y1lz/k377mWGig7pMngz88jQE93lACi91EZu8eUI+ZxBk+9VoN8ssAW1WkIX9xE
X8qLa3plmftIVHTwN5f63z2vmpVbkI7OoeZsEfv5HTQpLmkZ5nqfQzU/TgL9N2e5FQl6/t+YpP78
SRpmDROlwAsk1/qXT4rrM5ch1cFehUmxnvqAyXdVfGtj9IZ//fg4vvfnt+OM5IEQhIzJU//8+U9L
S1M4nqXcVu0FvdMtMZoJ2ZnudMsUY7r3ydJFhN09Mm8otmnfIUjqArtZ016uscBW03jQbQ3Jg14V
uq1e+g/0iOS7ZGZ3QBzUEZDb9PODbjtxyZS2ushome2JrSbTt3aornd5oCUFOIg5u1D90dZzcKhj
4aOvQaJpNS0wcdO4W08ajTaut3NnJcF1h/uxI/A5KpzwqgdscQPtecJsEJN+HQ2Ty8wsSG6ApqXv
CH+LIw2IcWvnRF/OWhKqMTTqmDWdek28RdyMLl98aVH9WyBgEeIZn4m7G1456bzR9PK3eVgXCG8S
A9XGwXk+UeII19SvLkTn9yCyg1UUN6W7iueG6VhFyIkqh3lX6jI/JHaXPlh23dwEdgF1ZELdusnM
hLBvGr0G/OYQXuFhCJ9Jk032Q9EEH/547p6HtveWWekL+FyNmhd2yEXamRtPG+9aFfEGtcXBE1Zx
KAfodqwAkXuP+64CKxv7wYUtvPZmwdONEKnx921jsj1fp14HA/MK8CKIIhZyTGElJBPzO7R0lxqN
CX6YDFkVmu2wVyhsmmSfw6D45MjENWFWexnHzCSqvHcwIYSQhaTn9ogxRfvi4Ad5prkJz6SQdYs8
ytj6mWPbDMao1B2ui0JwwkYxPTb4pYwvxWUz+MW2amw8yEmEzw4iNls/ih6ENKs0FxWBBEOQHNxI
G8KauN9uO3D5BqsFjOJnI9Q2TePLHpxkK2op3+LaBXaoXfGGR8hmkGZn8Q1hMrZcBQRLwRTo7RbV
eUjcwcqI2SA2JSD4GVFQlz97Hoa3wbZTGGop30GFkide4yZ5yFFHYOOJx5pmlQlPRWvWGC3UFzmr
jE/tPkH+YXdemO4DMIYLrvV+vnSzAuyd3/nVJsnJWg19AAgxMsy9u3DAofviFt99j6J5FVWYFahP
mqOBS7Hyoqw/DKE9XfmLRaGfikjvK4RghAmAbaRsCK+zfiJ/26vgFTBe5e+NR8S9jPUxL67hfcaa
Rm6yXLqj2fWD05xQ8puLiGC8B49YSVTl827CTvHo2nqivqu7XcvfdhitKtrphkTdQNoF93cqNhFg
cbD6SO+IN8h7fwd42HlmuqwuvLn5RCvebJPeJJxPm+abDjUynyHymqPlYP/zrdSFETVQ1jgLtbWF
w23T5BlXH409c+ASTT3pt8e4NAychYxwcyXFu20iwnhKZzwEngl/ZN4iQ2J0xvFuSOFs5dzih1B5
RFcnVr4dZ3Be1sQuzFEUiDXSwjvCvucDkN9ib9oeTZ0bOTv683h/QCpNAwfEaXHEReiONGEV4EvT
p2I11CcYPwEyx6ABI7KMcNfaiNTPNHzCGoCMwjjRjZXN7gXdN/2OdMR7chfZbZHZenJFs7o/C73D
g2vL6hAXHXA9ifJEBlZ0SjJa4H7N4RgRSHwR1cMrsHXUPpWNAkeiPRx72niGOLGrLscvt67FuGyq
MhGrCBcP+UsWcgEg5/TmANCsPLlct14Tb4dULQ9uo9qresmS7xNdAawpLlTNELh505Cf2Q7VeEyZ
Gr7W1MgrIlDo7jQCy62hGi1nhSkIVG8PhXZftcW01mXYriNG1Xlxj1khZ9Rb+MexJ/U7BDQaLdh6
857gucrzx0/wRB1DxhoNAe+a5byiH/WuRN5ejdAekTnRGJhGe167YnYu886DewvuOd+ZnNRYmVfj
rhL6HBLaUVDgD1wxkh7uscGUyY7kynaVd0wx09L6mujcF6OSjxySln3fIIpFGPQ8+rghHMeX2xFY
+BU48rs6MZdeipZGORbqCVbwPdFk706FKQV35eQRvAtDCoql6GgAqHZDh5M63B0ZFfajd92MfXhf
2mGxVWGEsyMQV6JCrasDC9OD5xNyMvak2WqSYRU9y7U/L7do34JdOmJRXPmI8l9hdgPsyKN5hzI5
87AsIRldC/rKHKvmsn7iXDbduWVCHB9D8r1JRsAZLDbXyGrqldNY+oFwL/lm9DiYTTblhqvhF/7E
ct7gKHNI7lAbnGGhDabJ0NfyK64IGOZF3eay9DGVsni9DLFpv7sWGlwsnNoQVYKMiSiXkvzrrl2+
6C7j+03OgmjVv6P8JPJlJq62C8B9psLQcpW62bRzfs/av7FZfK55CZv9kuLmcj2dvbm215xwMiKv
6enYOPPZ6pVH8S5J8BkR6M5rPJoLOFITkTTieXAhPkXaevLyET86m/ytjzJ61yJgzlBgOlieQn/k
yaWLtl6UaB5c335QSdscqjolPoIezKEDKnua5lYciqbvj8S/Q5IzfUnrD2LDfmhctK9V7u9ZUkBA
mdbGF4E/bO4K97av82RT2nH5VgWi3TZCbkP8e1D/WC2mVldfbEhIPRCqHBbfHp5IHcTDnUxy/DRk
gotVZZfFJjUt04hF25wZ5byzCMyBJlYVxzFpv2juV6dpDJ0Hz9HNDjHxbWKG7DQvEsKH9pgbOY41
PA9ZRrt/ycw25t7cNCgpjko24c4qtblfZB7t2gIWvG76a2YNpMYmeIl80jQhuqR9dpgGe9qPKWOO
PmxSzBb2XbOIYE3mjbsDRjHtllASOBKJqDylkichmFx753g9edtuuuyqKckuBPyinEZ9n4xr1J4j
zg1M7e7k5hcEQ2Tdruy4ItpP831YaucokM9AKPIvMtG/zmaqrsC3XU9EjP6QRd3DavLqTeTQHaY2
vO49gHQ6bNt3r/UlRivSXQs577PKesb+jpOW+QeuvDIsT1VYgKStJxzrvV880YrtrvEKoy5hEzxM
dXQqIS49iToOViXG102jB/OjKceFnZtDAYKHihS6PoKa67I2n3HH16ouoztnKMs12kKfTEDXylae
DSGHRsZwi5DlpZ7B61RWfxm7Q74u5pHQa9ZtNL705/tpYyoka7CPFvqZHWYwxJMtSqsrd0HWQz81
ueNgzwQpIkBxXrCpr0ovcDGels+k4ia7WpXE1oKe9Ok6j053REHKvAmtHHpfhaUP8TZ73yQOXSLx
Zlolam3Mt5VUu9mfZ8AGtRWcdAUbwGXycvDyx2HCtdv0GVbKUW7KJqr3HOWzbRDhcfTjNNzHKEr3
Hp+/MoX86BoZvqqCsK/a5m0e4dcu6XJAIf80d22wagecK1b/HKTuuXG5bLi0b7qz2KNj6yNIqmfX
y64gIT1ExC+iAXRu0NF+RtmnYT63x35EhEgSPQI6AmXf1CiD1WUinSsyqEnFUH1Le9q6NDxBuMh0
tg9HD5HTpNJdhBGXXQpLWD3sPb8pXhbvB624fBe4jbN2xrQgr4AIxV7OFjewTR77KmlZxconswTP
fpPyv+Y9q8NvUyUvYyd/E67sLlqMCus+Nwgvi/gpdvVBFiTqBulb6TZH5JX5mtHVtedn/O0u3mm/
HlDGoW5ddSkzHdfq042Q9C/ixgUtMDa70c/vU96qc0T3d9oOR3+cNxap0Cum7ghRB0Ke0jg8+IQ+
35Q6kjdzrdrPLs81TTM436FVnHQiz0SskTn8GH7Hb0thTrn/2J1DZ85FPq8sKfMfzPXqXdGKdRQW
cmfIhzjNWY6Th4iU81HKb1AtIz6P86DHwV0S1O2g99VleeUKNEdtOXFWqUNNcT/iA40oEdoxyajq
Lc4wfOHUxTY/uT22fcImQVpwv6lbq9VoqYfAj26ENxJa75pvA6zKtuOcX/qcPosMM4oMWfNJ81o3
nr5nonDlpeFLN5fXBfL8VTlx3yOrtpEW5gxS46Vm0y+f7A6eqRmAJUxp/Zo6A/kOipSDpPquLPHi
53a3Xgx79ly33DSTPdeu199CUiqeJ5qhq1nK/GDwbRwI+qm28EBgppL99J4MfbePRQxphIbISZVn
jZlqrE1TjJxtlflWIhjaE8XANwUdC/FwuJEOYU1x4eHA8/L+S0EyvEE7yOnO9yBao93eWeiRNjMg
zpKaZZdS/5xGItbHHqyHdM2t6SgwZB00r3FtkYkch/2eFstD0wOBD2uM70MEpbvobtrGwuTE2sEg
OvSvKuLAOPRP1M0JttfrxQXMYZIp29kYmTj9w4nMEEWTs2Pv3MSQFQfAcK1Gf3p0LcJkVAk/ZTQo
hOFWVh8TX+qkjMo3aBPwoTt9fXAJ/t6z39rXdRNjgQcgcSqaA6FtKWBTvFT23OTbCIntVeYF4rl1
Kv85mOQn8X3Ai9xyAH3u2S9AKLoD6bHWQ10P5vvIs33bGeS7mNhhpnmeta+7eNhPpFSvRwTz17Jn
nsT4vARAFZO10ZBJhvkKKAjnvlY92WesCdG7BAURCMVonR7fOvdaXKd9XPfHtiCbB0/p29xwVMRh
ln2EUVxuk8aZCS3mKNSdDQkaewe9amZkWWrjN25KicLO90+16ea3fkFtMOKYznl9dzgfeyKzUm87
pkjpTRFNtwn6Tk6LWX1SKh420BHuYhpR6wEm+dUCc+3gDtLZTfRSslVKgF3ltsmVmIw5pkDeSj1O
O82LTi2FIQv7+IBN03CulB5BaiPZDQhz47XMHBjmSxgf62UwOF1cf1/kHXTKIpu3fZLF+0W6wwEO
TnAKA03MVM/83ks4zVOAPYyt6zExxnbpT92PSXvgpLIILeiSXzVTDHAsWX5Qjpt7DXAKd5KxEG1b
fbtzMjNcWHb75LryhY9tT6XRx5gR6RawIPkdYoaZDHD1ycUV3XKjDGM/26I3VOIM3Ra9TS+osBy6
jom/jgimB6Fa1TsZV2G0o+gTL32EopRHsCZEjG06RGW5CsoefAwkh249p355R6+ifKqtUa+Njuv3
NIu9+wRc363bNN42ns9oUH9JzG3m6u8wsxAIUIIiKMKlD+yywrS/IJ9Gc0WDqVeXWVuaS6xb2dbX
E+aWCZV93YT+trGqYm/hbltjCy1XnnKS0xyje1/B/idm1wFfk5bLN1Ca9iEC5/waV4Qt52lq6HD4
39E6ItuQel4zIIi2CCzrm9wLK9hec0IAE5VWQBLOkcfvTgu/dsitjBrS7L34MhpKAD9VlVyAGUqY
6mZ0VC/yqQc+KnpvuJtTW/wYUkQjJwux957hrceQ3F/UK6gjO9uKUU1ya/o4+cJzbNTaq6HFX8ZR
Nz8uBTgP9C+WCbeBNRGKLjKTv46+7Le4f6j0lm55tN0I4TiSgiczZ2LD1OQh9XvWTG2yDyJV4h1O
3GkTTOSY2CVhMllby6cwK8kgG66DwjGnnKEquib2Dt7VfEGNRLQ8jmiPb6EYXK5i5KkIHfLqmQ8y
T4TtVK/Zee0kWem6Ipxkl5a1upSxdnaAEMh5T4OufKsJbDl1skAcI4CPbATj1YPDQP9pbOblIQuH
5jHJPHFF0o29HS0AjnZpzavZSumyt+QoH5xaT4aPTvoNAVkLaMXZYU0sbPZfoDtBwUwZTlKkRmub
KOzLKxGj88qJYNk1KqKXPjdZuCGjEOAxxg/wv37T5khKx/odS6nL1HpU2aNi/bnui4DRZymtc8w1
CNKeSx1csn+TpZK45j6ULatXdu8HutgTQoiIjP7lqtZ2dDWSaSwiROd0cgZSNgYi5wbrmoY73KaQ
NIEhZOFljrDD5YY2N4N8owbQFwm8594nRsiyAJxMGbGlg26yK4nbYJU17bNqSN/exJkHYbSo/Xef
UuqgB8TPxuBkGjUGG0XmzD0lZcj7X6T7AqjQdmpq/qoufiX+gtON7Ket5ZyTF5bxx9IC2YC9vJC5
Nj6TsUTOc4cuvpxxcgUhshVoh1tSnW00KVYGaQUnV0lOy3qOs+aEJgdzf9lvMVCdQgH/aM3T4mzA
KhZbujr9FSIW9/tUKXi7RVoUDmfwWe07Y5MsDk69uxDK9HulpAVMxdjBD+TJeg+Dp36h/VHfEa3a
3Udj0L2CyU9vuPLUxbTuds5g1A1nOWLRmijYFbx9G3twP4k/Mwe9ONONXCD2rqBXhN/pwXLCp19e
X5ReBK5IsObZ6DSUUjtYD2SswyJCkJVVuuu+IIg60xZ6zWJv/HFi7FjIEkFx69X6ib20l6uYgHAE
X3NPGQzB2CzHTs81HB4iyfZR0IFrqFRx1cksfcpIJYSgHDSXxFCOhGieJy4hWYtzTVgJRpVtHlf8
9n5E3DKiJyxqx76hLaL41a2mfdHS0ZMKM8UOqVahURc3bn5TZyzTMfxdJj1QxQxE1loMN2GebyCR
I3300i0VULiuTf3VL+ap7Cb9VE4j+SRtBL8KZ0ZbbJSzvBbl9LK0cLxFl7k7PM4b68zuD+ouWlcz
2SNRRU+IgQ7Rp4n13I5WstFQiM9td+AL8ZJA4JxAUsQCFBhVVxPJ9BDYmmJ2EBaNl9h4R06ww5mt
D5d0Z3fsiquqDdDLSHjX5doEqCpB85O3FViYG1ZMVaxr4nDmamdbBX0cOhrxA5YyecGhrzoCgCVI
LYnrB3+YidtRnY9epS5aptQ0PEg4Wnq3u21JFHdYwDz/EeFIczBZRBFpqFaqjRcKcwJDYMOcQ9i6
y4LWrJqItqY9Kv+V77XscIsAM2t60MXeMmBYoGLJcXdEWN6dpfF+zIgU+zXWcg1os4RkR2exfkI3
xWKJSYcWcuaF3pfwM0wgIyCRfcoMge2NfskLHgb12iGvvWQiVV1B6FH3DD7V0Xc978mWQLo2vkR/
xKlajMhx8la/DXNQnU34RXm02eFsnm07oZ3m07SDOMu7lSKugQbmCOcT54T3hA/Qfg7ttP7KFJK7
Vafb4gZmFsZEA7IK4Q3BVT9ggNjAYzG+2UxGHpJCQmomTrll36n8bzP64husn/n3XC0hHdMouumn
SqCk9/DDtX1UvKdSL6ca7jH+uFHThsgtCibcYYbEMzgMDxoWQw2CSTjvLUaIw2g68nNbtDa3GVHr
5JI0bXQLaJzebmzt3DhMnu1Wd19V6VbPDJHClyIqqjeLd39rtVz5lMuZAQFQ8jCXyfJCSFH8WgIC
InYrCbs311j+O11g8S1vZ0LUakjZ4dnVKFqO8IuHAr/kETnVlhBsKQSYwgKevkiBJL+Ovs2avE6x
IiOANOK5Kb1nC3vB0Zvs+cqMo35LcRysbdVWmKCC5OTTZvaZY3QA/ysTvi80WXgBqrx5QxAUnhbO
2hyql9zsMw6ASHuLNiaDWT6yeZWfQ9lXt7jnSdVyOQUhKzNwHpAkIv2zvhHtidCWOfxZZGnjfgN/
tx9Acl+j48CKwrLfbL2qLm4Zl0EVnyL6XTIB8rwq3aJ+mNuRxDgEdpAJAKLnwEra9Mrtxvwoxjk4
nsl4pONW9Q/I7QwGK+hhzTp1FE5uN0jyx1aPtr0BU1VdsWCQTysS7pyLpqjaUyZPLtrEhioaxlZ6
jtTNcX3hEnM/nNSMdzSsx1vbDpsHiQXuUzZ9flXaZQZdLPS/tJDBVdjVODyFskhbcgbvS2Ia/jxr
rQX8r6p/K5GevKbGtGqVe8r4IHvPJqd5FIKsm9LzDzyqeoMQVDy2siG5KagkNEOBMP3eMp14jlRR
/Cgj80yEXAmznxPJMMNygc4ROViTZZPd4rKd3wuofKgm6Z32nKeAayla78uh7WjrST20JGwhCqSX
VQ8cMCy/XuxTGjei2MSdg5kHGExyPU+dRILK1JU1IiqDnYf26gLDr1FAr2W3G5eGR6cohyJfuwGb
jQuUA44/ItKroREw3Hgk3Gu7VzTsVEf6kPRV9N4DYMs2kWlfEaES7AtLPj4OhanuY25UsBNBK55a
BoQINItG/eBoJIaVTor5I8WRR3Mlr1V6IKjsHF6C52re8TSn7R7i0LkziNfHXytd+t+w+iOOqzny
X0ShNz753Xln0/64jxaLrr0FqIVsz/m7Mdk5qoSLsqK05j3hjMQ3YJjguD72d7Zc+tgTcxx4ivmS
/zDRGNKy7CCe+zNSEce5JCEF4beBDeajKQUrtIGuMrkrsrkYeHj84NHphgFV9CyccltHHgiA3lEV
Xu44oXXWOulH2Ir8qEQiSemNOqImFB5DsgDD5gOvFvLqSaBSHhjdzBdZZuXklXf+K0Bqto80ongr
TFhkB5Nn3o8UoSx+AFFS4J7z4OehKPdeNvjrPAWliGewYpgXlMcx6hmUKYZptz5JMySnip7dpA3b
jyWtHY54rmVe4NMUgNY4TVRx/eUNjr6QltCnFLXV7bh4FhBDQbUG0MFczXNvbZjVUuPPhHD4yLkt
pn17apuKPFmvrb+aYPDITyEf+DYO5A05dMneRRL5GBO6DKe6taZDCv162DG3j3dlK95lZc/3Fsy5
D8untQOnjHg2AlZ76aVPnopz+4BqWtP8JdIMNhm+p6hyrvO6su4JCPw7IcZZ/vBHyYu2BSooNm4X
zpY4yyd+UizEma3gwjfBuaZneErFfKuIur0hljFh3+aoejM4VvpkDwNb6V8LJsS/k0sgQWEKCjYX
4c0v+p7FteDw6SnYz37U3Wi/NofBtEwRbMb2+D9tIGQxW2tFIPqPcWFLMX1f7Oohc1Y9dzarMUAH
QUGzsyaaLC8ZMJWYXncjx3jmza5zW0ZEoqzcs2mBBqpcDsYX1YlwebyLLc4xd2BUIekNeii18nU/
ZmCuoOHU7PVkioCTcPfFlFkkODvBxj+TWXvTk70+ykfiH5mMjbNz2yT+R1rCfrXUQOicxYKfVkBk
VxRjak/AuPc3l879s4wQcDEYfg+cHd1B9YuIreBR4vIJTutoKKkb7FsktnMFeWM+lg6SpXFGm+HB
AmNG1M8XMPnnnSbwtuZhgsfnbsIk0hgHY1wJq77wt6nGLWljQV5Xk3UxkfG9DfKMA7CXpocyJeHh
r+/+WUj666OH9Qpuc8A/0eeclXM/PXoJe0k9aKP3tqlTShw9LPk6WKb4YrG6e2ca/M3A5rw+R6id
HNvuP5l49Udjn9V6NNykUxJo146gQkp0G3/91/1ZtqcRZ5KMDDhao0/95fpG9PB8TEEasAWNKkaR
kb6EEGX+5mPO3Oo/XQQtUDzyCrC0O798Ts3AWLRhrff/i70zWZIcubLsv9QeKRhVgUUt2ubZzOdh
A3EPj8A8K8av74PMZFdGMovZ3HNDEZLiYW7mBkDfffeey/pzTHh8S/qc+rpdDUMqPk0GeO6RSbnM
DT9fgUAU9xGH0GGFMA5UWpneFThBgm2Gi6V08uwK+gpWZuJPBB0j/bFUSfP8rz8a48+fDfdr3XCc
uegMPB83jp//cFVKvzruHm/bNSY3hcnMnaXUEQfB54GZYAx59pJroUcFKLEZWpaZdDZ3aXgY6fBb
YWYYv5zYG06//l7/Qaw/juX3//6vj68M6GXUqDr6pv5otjYIO/O1+d9N2ruPevzIP/7iZ36PTspf
gOrPLjko5vxJbf7g+C7Uf/+XtH+xcbHNf25X4PvUeZ3fDdrA1V1ckrgVGNMtpncu7+Z3g7b8Rcwm
UBypfKXn/+cfDvXbb4+ef1V358g/XyK4pcHdYknG5PkXXzdS8aGZJGG+jTvNvWIK7yWKQ55t8imO
XwOau94YauBQCzCLC6/yTbJgEPT0pKKyozO9fYwu/cCIBauik7H3XKDuv5p9Li9gFu2nyCE437NZ
34+ZFX8WkWZd2joY9jn/uSNTAeWWaZrkT2Uo+yshk4c9r2rVhc2J+WhLGuGAkkIQG2eWGAp9+mii
wK1c3IIHKgmMG5l+VkAzh0yFEMnIHLP0mSllmQuvrCa/8Ax7Jz7HcbaJZqqZq3lwNLLKI54E8yyO
ycwJWiXInaM5WbGFNJy6PmRlp+KaE0Vw8SKLwp4GvBtJvnRlsalcg+mFtqBqueioyby0hktZEVBh
N0ThGiOhn2iqo1AtDLXDMEPaGK66CwxFe9PN+LZO6epMrwQcxBnuVpl2gwjRGGs5U99SKLj7Tnn6
wk51dr+tc/HbOiUFM7CeHFrvzahtaEha3nFENW1okVVyTWewnDOjtFVdUgw/Y+fAjHL0QoXbFCnm
NJPCmAWZmxQvgXIOta2biKXljzxXJZtXVVcUkVI98abTxPWsuqB/HUO/efT81v/ODZu0ju3SEAqH
mgrS5agTVt0LvQU9HVmh/kaikOHYBmBULtxJDu/xWPX2JvHt6Ja7nX+K3Gw4ehq+krrsXUTTaXKj
VYGXbzXWKQRnviMsLBiDgSaX7ZSf3I48pTEOzs4HaY+GinNrVzdFfrIyG0/E4FQPKavElV1l+rKJ
5I9xiFHoQ/hhGmeWMy6OYJXNSEGczUjgM2YQmlH0XOhasGKNdW+KuDzGQAh/aAPYAdj6JvfctmpZ
KtJGdGea8VcI1NCZ6YZAiPHzDdI/mtASVm2f4/1ixWoYcLFnPKKUJUCwmZmIucBYRVMzHiiKldeM
p1GhJU9DSDEpu1G4ixg88o96ZjGOEFV2c7joVM+kRniDa3NmNxZag6PSmomO/cx2RMgcWaSL4VCB
f3sLrVq4a7K02qucyZBBmSb7POn79wxH+0fvd1TmsRJcoUm5R0yczSryMHUK5y4ajAraEQxKr027
j9iqqmdnsEL4IbAqy5laObUIPYuR7jsDzG2ELYrTN0Q0a6ZdNjzcAYHYwdEKiw6LS11enQHoLvNz
+eJ7DnMHhTbtzqxMRGs9KxHSsWBCGhjjpY9Uwrk7MwKCcZl1NS1n2KmBCDMp7gxOZGca/bPIInlo
C2ZZOWnF2ZeqWgjQiddocrGM5aReVajqQ9PJ2oAdFjtseMtSnJMwYHlFHND4Dl7B+O4yE3xvMTid
kaKGmhxjNRlsPDsCsLQzVuzKCPcuAZP1T1HNRmCL5UdPl7lDDcLKQ5aHWR6LauFbsXNkSVyFqzbv
nDOgHYRitoobfCvcBwupdGdV2rnrLvMYp7eyZBdtJqm5F+UaBH9rnvxvWLg58eJdZKWYODXes5Eq
BZSPFFGbvSnRnkMNLvQEp36m287sZ8jp7d2gdflXg1F/WPqoQe927bDgpdUxfBsKFyMhN0SWDDKP
JThasOnybcxtxdpfs9wnHNbOJamM/hWRbCJN7eEFY0FejHut150cRj1KN3ytSPuEMEV3lXJK+dqG
TuauPdKyN71s3bOFespNu/fBz8LRp7JHU/mwaU2Ikgg8Oh5d2FXam6AWG28d596B9otmwBsq2G7s
osgs66Wla9UFjBA2wGFQ1rAOTGOkNEDr43puXcRP05tO8RCJuTKKHDDkvxEP1KdezxiTthUiRDN1
TPVQhrp2lPWUbdqsVPVatmEwLuIqGx/0IEECx2/fvrG0BauVRT34pr7tqa8io0cDR6thJdEbx2em
T5FWApIT3cJME+MwUjK/NwyFnttY0fAD0S1/aeui2QJAHJE2bKdHKx+q9D5K6O1re68505D9oxq1
+sOJvHt7GNC2JgfxZ4GxSGxa9kFETNvhfXQ7JHWbw+e7/avLN2B/utdpcfcXEUy/bWB08t5P3Mm9
BTNKkAazzGBvIut+g/eeNwByVm2T1FOU6smR8j0wqfGTRqbxCCUpeNbtCGhxS7HXCvkd9aYXdf+d
ibFdWLPMsxQR6IIw7J0zsX7UJ2UbjPeIe85e01Ku+5oL4bV0UvE4KsHROJPgFTMj5wtYhHZBGJ9m
QuSVwHiiwzQ8J5mDKpBoEFzWucjjV0fi5EWFcrODsJvZmTFR2Ih27jWHIk2rF7rqcFrPvNly6cus
d6h3segvrPXGOhEsbt80KzXmzHXDL4gBIUXS5dQLVTaeLlRLcsUo30hfWE63R+6hxoduqPGlp6Js
n+ashBe+nGLuvTlQ/55/GvQbzvg3j5+/azrLxyGceP1WOo72xrZ2OJqjqz9BeuWhRw3M1o9y7zmY
Bu1JL730zraGAKjKQK0K7SnZGRO2Xy/Yl/Tfuemqa+zbBqJUHKrnrrNHtZoiq3inK68ksmrA/QaJ
ZT04EcasBXdF7TOv1Ij7VOg1LgGP2g9sMS5HBa9V6QergKncarDC4Umo0WNzHxV1tY3NTKfnoG4f
CsTG7zKEB/hi9L5uL+qxl/exFYfBRvaIw3UXT9h7kyK5eSFVgXxcwmyWduD0R19lFjyyOLzrVRjR
p+GCH6tBtZAyTz/5WxFXAHNW4jhXPAU6xfOdFq97oDWsG6kHhF8QVAYXSFLmxZ0m532AWWn6cxnD
BlxSpihPtNyJDBynlAG+sNprT5JMMETsFoFi5YeOuupVwqv3aHboO0nov/piwLrrYXleQM1R1wA6
7zNEZHFHBYu3SsuIvzttjs3NSLPpPBErhoOOE/K+BTJ537s+/m9FJG4jasOdO++ibB+FI+xXD7Pn
0uYJxzfDGeVOi1tjYxR4TJZWl2CZnHTFiZb68EUT1/GVDglSR7gFzI8JUe5Zq7xiZls0+kXUA58I
MHnKY/SBT6i0y2hnDIH7kUSp9Y0xmF8Lg7J69oyh5/PFHbBi5RB8A+KT7kTaes8RI902nEgZNJoy
L7ROxOd0dNg9UcA6bWMcHjuetCVwd2FkEWafed9YxI138pF5joOtkDsnU6p4FYFyf+/TBC0uzRvr
R1p62XefcPYBmkPwOSkTi0TQTN7JHCySypa+p0qGx/x/hsb/H/bOzKP5VzPj/8Edmv1xYvztB35P
9Ipf5kQjWyvUUAH0ipHtt4HR9X6RhHltSde5bv8G1PmfRC+zogMuSfDDpOyYJf8xMNq/MOM5HjQo
7l2YQ/4t1g6+vp9EFddmN+nxStRyeaTxSZT+LFAUoex19mbWzg8BNy3YjIfGujU4E231gqrYpQts
4eaSuw+XNK27+bILRjVX1cZzKYeSXbOAzCpr3HnKICCjQ1u0MqcFwqa1frSlw0XbwcHp1ibp+u8j
expqE3IZHWwnbXGDty7LHa9j6MiDdQyo8cYDzrzzGkOwKxoFKRItB3HuRfsGUsoZNOyDa5fNkk9w
3OqlUa+KwlTnuEFTZ88T28QoiLcd2J4sZQk7c6p7iDhMlAtTEfCZarfYyDGZsKe0c76rHdH8vbMP
teZCrCfY2lOIGS8Cr2OmVAZraOgTq71N4VhfcN7ppO2ab3mWuNukZOIEggeMaPBHpmcaVCfP6w8J
ZMgvr4L1m3JMOuSG+pADNXzkuKFTt8DVeo/XdCPx3ee2dFHV8DW1rbPRQRpDRdCYDOWiiKdPzqV7
DXS8yvyXobKOqkpPzNEr2j8OnLi3PO1zeq0r7ZtduP3GH6wvNibbxob8l4iRJhm0TrO3HgNvzk5G
OPacZLY5UJi5YO30kgLaXCspX0Wsz2XVIFeoWGH/towoB13TisQQ3GqQrnvOEXheD1nGIWGM7O2g
4Xgkdn9L6hL73ATujQrNjGVpaX9SR5yuslrod4w65nVs5y0Hu4Z3ZoEMiL7ogm+mz/Y7jAf+hRaP
Hikb+1tdtxppjsq9ZsD7jxYn6h81zuZFa0dWxSp+oFGpzPpTHSZX3SijH3bdY38aS8qceKQssoZj
JbtE9VUmLS4+V7s3Ku+QtCpbcqiBZjFpNfOJ3/s017i3pJDeqhfTvRsWd4nUsaL28gYfp987XUoH
W0V4CrKEb968Dtdb5IxQlIgQulr6Dhi+OzeS0hEzndjVsBS7l7J11rKsYrRhDgSVYJkWlz3l4da0
xGU6HlUir4ZmO/cqaBrjJCW1oEt8/wZjy6hFsGHsJKOtLEtbTuJpH2hrtmoMK3HHm+VJaXPdxaL1
sJW0UQY6aPIznT1tLHjDbMDua9dlOxZbWdOtOuSOZJWKSdeXbUdwf1HqA9taOLZjwOEtxDgnjcKX
Kz/1+3ZNdyqQCrBztLOzf+yCk2ZHmdq1FB0oikfACJMts6PyRUviOoq4nkHj4SRyHTZ/+syv7Ny8
uzghp5sdfNl6PDJKpf0G6yYxSpx7NUVgZuUU+4Q+8uJHmdCbw+vCrNno1Lx5y4AJUzAc+HQ7t77n
0sMNKBwrdkeaaRtaYgSi5FS9WCtTpyfWzzS3+SrMLqRSB+2mWxkF+/VFXnnOO56z8SXvuWI8Ffu3
OqgRKmLySMye8H8pLTXh7i/MDmVqKUAvZXg90sBZySTlw5IsNerOXmNOCJ7wcXKFKJdLAd4uUQei
bE0cqO+9PydRorCHqZLEkZHcRBFn8YbjUu6uM/jRwSVMcv76NpXi2zkrqtbE0dml6MKdrNWIHxkv
VBtKYy+qWqXfKmyS0caTCeYVM4MFSNOzMX3k0H/w1rThvZdP5GxSwQu2JRlZA+zoS16Gst2P/lA7
iwq1IKVsQ2im+Z4wGpxzz1YffV6wmUnDoTq3RdNSu+FO8T4bxPThOtrSARi/wOX7GCv5GKrh1c1j
Ej55Nb65Dj7zKQnTOys2uO3BNd4EiE0PeEGKTdc17ltg4tFcWMqe3g19+upFy/FTb/NnHz4OzhM8
O7AdMVqoI9MEdjnB6tOhI3nou+ykCKNYW0/z+US7kW4yETDNLmAVVVcEJXpUwgELc9CXymQ2h2W4
NvM87Y/ctZ877NtyI4CAPsQZzY33JE1BRqUgJlYAkcURnxin9bFW+gCMPyKVm9oVdRU6x6sHhiM6
LkQKJraP2Kes3NqOHmsMg917UEyoEvi15DT7jkg6otYsDKwxu6QfPgcyDbSo8F1GtAiEtzQprdsY
PsCcemi6m1JjdLW1HCY3cJqza7V3Y0Ke2w9FfMeY0G6adMqftEmXJ81Lh7dmcMq7UkNLXXTYfB8b
GJV3zMpZeuu8ovjMKUPekZzr936XSY3p180+hB8Zd8hLxDdMiFODmqs0lBG7n4HptphwE7KxGAYj
at+sFuAN+pb7w02n6lSObf/DD7seXy68dwwUWiWXjdTGmjiVgKwl2S2mP4gZ0ipOO4N+STp2LEVh
iJes1+It6iu9QB57i/RkgLnkrjCG6zkt9FhgWguWTdLn301JR3Yntf4Vk2lbrggVeBiH8ANAdFcY
zqNhqq5agTSFeqpl55Q6+UfG3yo75eXgJrvEKGyi1rSrxGsPhuUrMVBMqhydh21c+oV5EEYCUFWr
uzusTO6jXuTpKY8gfh1r5csnCjGd96nlCRKNv3oVsjF4FZ2m35mDEUAzG9PhXIyUaLpwD3d+71lr
I3CMI6RbRFyEB+DwhJZWTtvPLY4JXKWNW+PUQr8dbXNBjWmDJmhoF9ZgCEHMllW7EFgJ6nOmRUW7
mIJsLh2iLgn4sY6prNWnMV0Dji0OjRpaAlKW1Th3ddylr1kT8KUDb2h166zrfIvqCk/GB49Y2LR3
/Vb5MH1Z2u90WiUDvpguhmZUFG28OsIPzTsI6g3VLkWsOpykFmvMxppbwMqQt06hZxokACoSiFeM
2gl+idpzglOUs3df0o7U3RkmO9CDXU6OfurjeALEBUDfxcJc3BP8wQE4xdrY3gNndMpn8iBozk5O
RQHRCVYW+jpPuOS9kGBIb4junEgDfIqqvEd/yMRdzMkFnDaUA/zjVbTT7MmC9uYOeBEik2HOzK7W
lGY7VzYupRZMcR5tgpDZ42Y6Nb6NU5HJSDtGGPSrZUkeBxN109XfBhfL/YJ1L8cHS780I2NwVPuk
SNNkWTeRv1aC3D3eXQKwRlsdEbqDp7jBFp7gHkScLkXwSBg4DIhG8HRAtBz2gFar8lQXBeVc8A1i
b4ebwuXPWipATkT+bHWDoadf3UZa51QLrSe7V4BaMCX2EHPnKtpFpoTAE84eY89Sw3oajQ4XXzGC
oFt7Y9s+DFbcl3uDpeUhNKfgi8ccN0s0CWdYdH1oBbs00nFsMn98lEbmHUdbT2+TXdwqaQzbhtYj
2Pwkk+p8ck5FXbqrvEXqnIgk5CYGekEKGLS5f+w1Z/rggRE/sHtIv0qMQtsKUZFEkaUle0PVNP4w
ylRf1INwBMNFzG4D4z2xFx5Q5RAC0LOjOjYAtFn2prIkclRk8SDY9gPH9rMTKm/bFL3pLfphmK4J
nrYlGknxrWxG4l8aYVRlRHhGCwRN4PtW6vkrZID4b60UfzPxMFv9cZeOTy7Xi0INexunm8JF1dQH
qgnixz/MgL8v5/5IL/p58/vbYAXAib2vydrPdP5k2OimLC98X+v3aNN9ztYhiJfVWCEZ/uvX+dmV
Mr/O/Pc1cDfoTIT815/fjuFppoJk0aLs5+1HPD/hxdy5uAhGl2DHoCXR9xT2PIRvEqbu37y6OX9a
/2OK+e3lJZYY23MxTIk/v82oDxKtrClzs+uo3NAEpx5MNxMbuG4TX9ImvXMrq6KOxR7fkrEYVgGn
iU73HoFlPtq/HjPQFtP54JELzv3TcBtkUeyFVUEe1/UAs3g8KVhsGtiha1PX3KoKXJ0YoMhFAMz4
bTX+vzZF//MbYhLW2dTzwbomfvmfP88JYZ7cQFvup6hp0PUobsDgXkS9vm7pueIZH6Su9Teoq39+
UUsXug0fg5OpAL7784vWPo1yXeI1vGgwnTAgcZZWb5AHDlQ1VKyr/99G+y++mT+bSeY/GS/Gtpk3
yL8E3+nnFws8y8yRbtW+nyJt7dTmF6adTYbU9Tfv6p8vAZbdHENcRyJyWH/m+ZrYkUvMdPk+ajNT
XW2j9HlwAuFv/84a8hefH+YYpsjZHaPT8P2ntwSRNXaIJNOgYogjHFAPA8gQBgh4ngXAw7TMZou5
njmvDPvmmoAOsG+u4VAHxZEPtgunv5Je5pWqW3/aDb+eD+tfz4r/+sP/p8+EFT1fLURjg4/Fsf78
m2p2oKBBRvskDHW5L91W3YZiYFj6t1/H4rJ3HDBXc537/Hv8wTEEXLGpgqAN97nPMLCqJZl+6qHS
9DcO2X+cJH/nJNENXSLa/eGvMjMFf2cFXj4ybCjnaCrqn6VB4vi//9jv8qD1C34Qc75GfnV//K4N
ejNRGwwTMxM5FOwUoKn+oQ3iMwEDiK+Iy9jhls836B/aoPELgS7heGxBDH5WiH/HTYKS+Mdbu3Sx
OGLV4KISqIwOv/jPX6HBoOQ1YaDc5Z2NPS/Jy23vVEBMYuNi1Y23j/zujS35ABap/T4rOTOU9O/s
e9DZ/uL3ME1dchdBEYdx9vPvYXkBQ1XhdzsBd2GnJL3sVrIpkPSIxIdHu9pVkEGy6AIigNHOYRcE
9eEch4OCIWs9tpXEvAhk6XmKLpaeH614KCniVCR7lIvwI48lQWHqARivHXWHB3DL4IZfsRT6Sm+f
oJ6e8KCvBz9fx1lzG6i/6RP/YFoljG2x8Zvsxc5gsSCJLmIneWwjq143FjBgZoOVLluxckQHqlan
R2DNlNusWncaoTVEr01TPlpzosMfd3Fg3dg2Wqxj8NvzwTaWBZhf4NVh/NQ3bFjgP4lTl2cG+cZg
Se1XoRXQf61l5yLGTPdIKA/Ygw9NMOxMS2Kp4RSe0HUiq4dhcN5I/MjFOCQXKpTahY2bH49xQUm1
E72wAaFoFa2AfG0RRsRi3rVGf5I8cQMlz7VT38Nw2ZqqWNOkuepNk/JUjDZL4ZnLEQuNGtPPIu2+
ogp3ezsRsKKX74fpTTS5Oma4zyYr21VU+q2Yoo/K6M8a9SsrGYSUM5BHoTrpIUsDfIv3TS6XQrfE
arL7h2oIbgaOG5TjmE+LfVmaj+tIrJToD1VsPWUubCtdY2PaPFT58KPLSAg0+tuEjDGWOsvAvnwN
+mgzOkQfK8vZZGAcMp9YjvSe5pk9QXcS7Nptg9abQXVrivIurO9ffQKSnbDuayzm4LPaJ8MiEm58
FVl2oW/12OIWAoNDleEw9QuD8/+a58Yy8dMVwez32KLnGCYuynr6KvlqVqF4Ivimkyqj9q+izGnE
aF00MawGXVtnsfqmq5Iaa53d9Tj3deZrafRLpwtf8Ec/2tmLrOvpGid98sIp89gk9p0/AMBxx94j
Fw5FlyPpCq/AEbjwivFnp8LkFRHmOxSv8zhdiVPSB0g6HvftwiwZexX+W62f9mUQv+BW73ctuXfQ
j7fJZ9MHcpgt+4YWmKs93tVuecZIu2zqkBCmPRYney42aznGtSK8KXjWCHlqZ9kwCBWtJ6sod5Kd
G96o1CMRmxGw3Te5lRMPKAnveTfgDGzo/eGlnNRuSsQn1uE10JoU7JhRnyvPIOYUJOkyEtaamMKq
caNPJ3U35B/wxy/70rjL4FGhC2xSfXrW3WxHkeiiVnQfTpN40SLKbrV0y1dDrvTQzPbWLH91BiBg
go+XojWYsOQ1N6enqKMUq8JjEbHOAU/lrMXkYKy18CHAieEcYZqE2CagU0zG66AKv4nOvhl+PF9O
5hXMer+olHONvGA/JN475WscgJyvIjH2cTXdjTq4Idss6ChM8x0tMP0prbR4U8jBXRl1fD8jb5eT
r18DS7JwN261mJZ6o/PJV3xOOi0nZXTGAdljsrYgIdbdxh7pmdKEc3Nq/y7DgEHCpHykbHgL2w0L
lgM2mTvNZ+F4KwSa5ww0iOB/WEFY2KSNk6zGoTgWYf0kp/rq5+qtHbNyRw18uCyl+zz144Ps+2A1
eOdBqmMR+MQS6kdd866TVb2BiHo3lblpC/+kj+1bNSYvtL5kW1XyPgQuD61Y1xQmT7Qh3LMSukdK
3Q9YH9auzA8KaX/ZJmzMK7uAZCfreCfdfs++f2ea1nYiGGgl2TZvY4h3bF/70d8jc5qU+HDl51U5
LAG8f2c1+zxQG0Y42F5X2Kqw9ZTLEPTTGpsTaUIj37mT92FSCb6oGoL7ngKSQ+EjjUvak1lYp4Ho
1Zor7EJw96Xy8k8Qg4AsMlZhmJjIhUsuDPKhoerfOs+/5Zr7qPXuSe/UTEggXRbLcdvUydkssFsF
9vcKWgadb0G6MqLmNPGxar5/Trp+UyPILmzaChEkM8jaGnScsA4cJEN/benJkUtvr4w2X7e2dqtL
sBRjGED9jrUzcFrAP0H0VRcse6b0XsfszMcc3DVpu60k3weCn6FM1rWQ59az9sVkH1jrrNP6IELk
DTCFeNGwyYz+QThvwLSe/KxZY4HcUvO1kD3pyIKbEB0/GxX625IMU1m8hzBJCHq/dLWxHyiTU6l9
xEiw67uStFq+MjwoNSzC93o0zKA0hbnlofLBqit7N0YX2jZexgy3XJ/uPL7pbmq8skK6ArraAQKj
LNrbRorIkNP4u0kLJ9j/9aPw1UedgI0IcWwSXXthpQiqC1VtxrR7bJzS9mTI04COntks1LW8vtMm
64zNcNOVA22aMZe85sibM4Tfy/EYEKcrpH4Nhx9ZN110gg0IW6hx1g9Fr/Tagq7SpsaR89uy66Mf
kZl/hYF9teidpkZyFyXBow6MR8eYtHBq79VFIo/bH8ohhDly60QsArtzcaqBi7B45RJ5rkbnINP3
zk3e4i5/D7R4BS7q1OrtFdT2Esoutxc/PDvctCaju8MUeZD9cGm9GOAIJYZO9p4FrNVGzf70ZHXp
WnNXDONZ4oRYqdhaxp6xy6wGla39aKf2NaT6MiXLkZA2oib3k66NY6idAR2CQDEXLoFwOkDLc0PQ
PkuNZhm7aN8PZnawuCmEPQbZF0ybuGKypa3atRqybW+dYQLve6K9yNPfO7dbW2lAGQNcFbtQW2Bg
8DgqHDj6uZidT6lXkZRL7upckE0S9y2J8zDAcsqQy0IiPZnNU2zTQlhpm7KJL2Xc7Fg2Fguri55l
JMHXTOY6D3lb8U1OqFhym4IALbLmy/aGYxhBm6r4AGvzZGck7WefiVdFgEPSow2WSEjxXA81u1Si
Gsq2aWTowmen0hrIF2paDjE8J0PYd/0E61OEjQtfFeaPAJWwLTpKbLX6kMTpMlEY6HLbuUGYegOL
xQKzfWm6dKuN7MSkXT8TlN8Vffwc0yHgOKznzG4bUHUipscOKl3LjTeB0GY52X1V5tnSb7ajwbaw
I0YYnLveQSENh5MHYiME6uD1P1I2Wm10h1h66DPv5qvoGjcHLRpXgq6E4X6Ywk3RbEKRXyu/IJNv
1gNh2JDnR7SGHH/f8ihajajOcb+FtIfE9xL0+n0ElLpHTgWLRL5zqyz2CZF9mxJ3U9btadAzSNs0
6fEFIow6Re8aZYdDZaC/ECwf48++VzvRm6eoZPerVcNhYGkPWpOAZP4MoHExFsGhp3UurtmweQwS
ZbWJ1CkyQBil7qPog43LMipy8gWDeruCAUaRIucHKt9eEgXJZ6yeqylY46PZt+YR1N0yirll2RxJ
B4pAq0w8GNlj56wp1bZhgzUJTdK+ZP9CC8tToEttmWMMPngyO5FLnI+WzXSQfp6cS1dk3zRSR+s8
mIq971s1Z0gWza8UgBfPlQLqOUVOuwQtM/7IlXJvHqu/c51Y3VfXF7AwEghrjgNShESz35HAYvHp
skwvSIR8E3BV7lwrE0edkDl5rERkO88sk2fWze6aol7vfuoANY6aCt8zTsPIuaUvF7Hm4IEtg+IA
i5dq1BB+6HoGJ+dk8PeGHIOdxOb9nZd0v5F3nT61TOg7sGVqS3LaeChEbW0MSU7MDcf6oOdxdtQ1
WT8w73E+5mCGfozL6q7KEuvR5TdeahAS+ZOG/V43mvJYdHawbzWazmUd8IybtGHlj4a7Dyp6PBdZ
B464LcrqnBdxsOZZQ1KRPPVe88pm9s/6h7Rum4PXSjJjicboNdTErWUhyrOyKcnJKTgtXLPjPDPq
9B65Sj5jlRu/lcTBAc0KfxOICcATUIM3tubeJbbyCkikxfXjNkH26bL9ftXwa/f4B8P4anfKeXRw
6N2zbhjvmt4rL0ZfO/edHQ/XuvBC5PHnDjN440K48SY13PuFYT8Rph7JgEejSTZC6zdDNffKTEN6
V3eyvcDslqeRB+Y7SXO5ywhE0NYyDJ9UkOY3ys/UzTFUcwVIywKVShxmSFxqXgCkICzcdmOMOaQF
zvULYUF4S7pJUMRuGhgBYqgcYVBus3nAzhMcuPTikMlI0h6wmBU6L1YboOFye3qPndS8lLTc7uxY
GkdtmkbuKTluhzS6FcP7EBIwj0LKKFU6Xk2TbTmIgbF7AO2xHA1wu2MGvNXIV201fXPSmEVRDzh5
hSj36Gviyc2nq6iSN0GJue2AHKbNzqZeids+CxkxHMF6rKOShTu61lLT3WBla97aGXn+6vK116o9
uUcMBob9JdhIW2b8YdfJeixoDw6SDchXYtYzYolPiLBwiRJ6cQNb32K1hPxTPCK37SPdvaR2u8KP
uAxji9+43XYJwB9S0Iby1qXWvGJYoDMliDhRZuKxs7snXzOuJXvHhcadKAqT0zho+8Adr24UdPuS
np6Vgz9jR3g5WSUTZhSWNa4JYY1uqjUOm3MV9c2Gdf0mafAz4DHadDVswUYzV+W6aV9gPi1U0Rw9
4H6R526CNKe7snn6gz70F9KsNdvBftLTBc4kXXeYNQF1IdL+SXQBn8iJyRE9LsIXxvzoOA3tcB16
8IEahbkHXeTVZSiC6Y77U3jfR8J5NCgtvtZ+JbAiipw9VtJln/LXSwXYfPU0ztePM19J4XxNJfPV
Vc3XmfHrFTdfewUF3A/QlRFQCi5NDJ5k0eardZyv23S+guExczGDEWoOFJ9ph8DnWh/nq96dr//a
K4J1lk3VOfMab9u3/QxnDXx3T9RtXOVG7d9IBJhEUrm3GPNdZprvN4HPnUdXgEEqG5MSni7uS0bD
+TwIQ/Wgx0XzQNQyOyLW1weQCNhGJ6Yx+iSNB5Nizq0/3/3EfB+E1ON+mzPAbJm5S9ajivYhsBMP
uNg6+fVm2s73VS0KzPX/Ze+8tuNGri78Kn4BzEIOtx3QmTnfYFGiWMgo5PD0/wdq/A9JyeLyvW/G
y2NLQHcDVafO2fvb2dtiS3xYvx0TF8GXpM6Q6oi+O068dWjoCWzhkAND37N8q2FvH8qxDy9Nr9C+
B54yrPEcLQ0Zs8m/bQI4YLUNwNdkXc97RDDvFsW8b8SRN76q815SzbsK/ZziTpt3GmaxbDr8msVO
gEpel/Oe5M67Uz3vU4GThjvCL4/FvIfRLybVi20NrTWCXHeqpxeahAfX8Rj4l7pW3/UVAmJ3bBma
jFGq34+WQ1Mra/XxsfcG9Aqj4ca+FDSgEp7NeaKBkD2jgCOXRl+QTXzm1ClpN2EYrXWph2eYRvj3
aeljY1e2toLEe2lWTvBsvmn8ije9nzpL/+o3FWDUvF3RABwPooLxJ/s0+a08TDkKQtI704sij+1n
t9R1Zq0sEhsb5CE6HBAgLGaNkhMIZpvJN0OVl93bFFC+TQTDwKAu4bSwbN+mhV1mY/aaJ0OqJYd1
V5ZXIadNyNHmY4UsfNGqEHoiLKkonOq7MUXUg/VnjbLkJo7Lm7SB/TMbE1aYrrKzXs2btcuB/QeH
mHvFVa2TgYdpXUvztkOAu+wUHaNc1uE8bQjOjEqRXrm9rRzdaAZbIrSCmJNEN45K4Kbd1PE+tO2b
SItv3DIKD3HpJVtyLeolKXp7QabzOofIFPr20FH0NGmy6gz7iVQyeiVahD9uxhiVU0hVnLSIJ8dj
Rf2x6DP+73h6wyV2kAer1Yp9jv/UR71vLpOq0DflmFYrjWwjMKDmBk0bnu+8VzDhlGDgOD0AvK6e
01a9pC4kMckeZo1IfyuL4a7Qs/y6VyTHMaaHG7NtO/DybVIcQ0fi5E9EsWmw7gG/0jTwnbb0ifRC
6G52td/pvGuFS1+TmFZOYGKE3DMgXc47hxS1JHqIpvzJ0lIqCEtWmxTyxybzDEjIU9ryWIF3K7MM
/qJWR4tGYuEYCRpdotAnWBWyIbujl1FaSJXj/IVVEncqcDJxKObIH7pBcVcExDR542z7mM8Dtdfd
8OesnTAQSS0MWBu3NeKIQ9EwwdYBYW0l2+4J6duLRjLbTaIrE08BCwpKsBdOMa8xOJ4QjfZy0CIH
5qYwz8CExczw+e5SL3yp4W1BZ0MQlJRQiqgKQFKN0TfC1B/69BF+34noAp4IPVqOObpCrdDhNeav
dj1dwWm2KYURYClpkxoLBZf1mkOHOKsrnWwMorY5iXDwwHrOZlWY1fVsmbvFdFBzetW+DwUhx1YZ
3zoV8LGKhQtTUM/JWCKrEhrIN8c4jE6P7B1a3GKo2CSI4SO0x+7OusDSg0ULhoxo867YhbpCimsv
pgfi+zhkgpX3pyHp+HO1Q0Q98pHpKSDffMXAKVw6LbZ/pBH6OSp1kHnhaOyEYquHsPfiXdqY9Tk5
w81FVwf5BVL14VvA+nPQgINvCexrntA7OMdyrrKMud7q3yqvuQbTlcbBvlQoq+CtOmPFNW/duWSr
5uKt5Rt/23j/N8b6YoxFnhPj3/+fHv8ywqJYeq7ea9t//oGfwyvX/ctQme8y0YIP8d4M7ZIjSyQV
nme2dANmAXOyf8+vcFAzzMEijeac2ZL3zgxt/sWfAEY3V0BI21Xvv5lfufZn8IPOHMzQUJVbsy5C
/ZyRRLJDWudeZmxkoJk3sTAnfMUEjg4O8IsOlSc07uwxTLIByKzrPkYoxo+6abWsh/zD3EADtk9h
YSb3MRviWU7pftIIJwp2ZKWSbFDrJGHBCbPte33qJ8xteWofA4waSK+bMt8l3ojly+2me+ZsxSuo
teY+nBw0ZqbBRNx2lOGCQpqMvlrlVSqLxKflqe8HvNhXbd2XB7POiz0KcrY5j4hz0Y3OsNJ0xbhX
7Ek3D5KN5hCnnkF8hWvmnOSDSd0xD1cOasyFlpZJpwlsDRp2LH/BLSKwEkycYh1sr+ieykhiWIsV
N0FR6ozRHQQO9TaAKuyhwRH83UYBL8HgvFAvELDpL948RaZnlBV70DvCtzo7ofMZVyQe1G10JPjE
MZccuCg8QMtBArYNWnGyAJCBWGi89BjW+2gW81Pumkjp1KQFkQ7GNGvPwUi2rxoqqavASIlFTUER
om2y5oarEmB/rJWxPAuhDo6Lkj4/LUdiycB+hl1yWU/juLN7i4DfEVMrbWHkhIxJqBtY444ofaxd
rGliokPIjpnhb9/qrQWwbTBeQwZjVCGhBcg9T81qGysJor2Cfr67HBqVXzdsIeIuJjeLyMSJkx3B
PM4aB7r0a0dzrq1CdfzOMKqXsUk5RACibzctysXvMtH6R2hA9h6Brzigri0ubXfUb3szr04J7D3A
QiPlnW9JNVbWQ0vpv0jMWNSkztvWvhUI+dNk8M6rkuyzkmGsgOVoZntcDc7RzCHrWk2D0h5vJ/NN
pV9rdms94VBPbwg8R52rmiENMz1m15+UFi83kiUyDKzBO1NtLzxn1gkG00nc5mRVrnG0SkenGaDo
GKqCApB9PekZqDS+Ureyk2yrKV58GQnq/EXidcMx6OvrTJ2CJ9BnyV5JTPPR4Xx2QEGabrGG6XxN
headVQDq1IXlQExcyA4JOGQrd/aaeYhKF3ZRo3XU3gB8bk0OZI1selwYNkns0dhVV0CzJt8d47Xa
R8rKkuWTlFmwCuwC4HjTKXflzJbmNLJXh1bxnTaYc1XN8yYxGd9Znp951GdBZd4H1LiUxhz7CvBc
i8kJQX+7/Uuald81BeAxKa7XJZMHLyJSIDCS9ZxRDOwctjdTyfMM3bBjSZII5hAq2DN+EdltBvsx
46lHFAYGkRlpkq/KjIYiocEY9QvirYEkOfSw4hZDsF0ue9VAIGZmIXHJMNiOroO8ldewu0WqnZ/o
ujHKYuq4SWnAtpec3qD7iDeu46QqjLiEMrhPbewm+aJxyc3kcRXh9yRnTVyxmug0pNSp8fYzMCbc
GC1fzgJ+uTJg1+m5Sf6QpS6KN+DkYPStcsSxTIB97zrJC9aB1qe3ofiYOi0ei2bYaJllbtTOVDF7
lNpOq5yJFrkKqlPMrXeBf/TW4atdtg3lYy8t5LFUbjCQw17H0ZeKcp3HTeuPdNxhT0bqtUs75Qkz
tQ15mziCQ0ZKwc5wguQi0N3A5xgYvRI3HzQway1me8AER78fEzJjDAWOF045Xnijax8lgAWGzDQX
Fx0BJNsxiJATFomIF1ntwJywVSrBxIu2HgDFB1NHJR9UIzHAAf3IDAfPOjXz7pq8p4oGU5vsnQzh
HpMyx9nULZJBvv/6IgbnTDKHNNtvAr/0GkHZdhLWQUuS8diQUfJQ6aI+CObw7ZQo1y0opl2MBfpq
5OhwjtFwOof1n23cPDcuyvwoo2aHune8UJsoWpFG3t1iuOr8Wva5vowHp9xNiVTO1DpX5cHgaTrv
ZZUeEZvGHY5nT9ub1JuB5zWPjpIkd2XUFie+5uQySybzqbFy5KZlpSJ+KNMuOBch6UBhN6KH18VU
M7sgbQqCKaNdy9VPIeCQadXPsb6m1x7ScTIJKumsErzddKgUQpEwSfLTTX2S+umUTdcBVsQKDoBI
GM8MzGrl0JzDuMGLhZ/Txik0yWVtx/FLmYTtTutafqRMgeCYmoKnbL62A5TgoiF6zZ+t01tdk/Z3
rQ/HjR0Ilj4AOePSyNOcICBtICnFNHLlyGC9oK00IwZ7tntZlb5GcIs/Tkl/xZF15jnQF9i4rpvs
vGkUm4BEhiWZr+m9krfTbWOSoz4ZKuu75pT6XppBCU8xhB0iVOOlHtVkpWp98s0KXZDOANwlA4Mu
ZZJL6UEIC2HFx0G68UnHRI68mrWVfMFno84jHmOwh7FZiXNDogpZBOC5jEXWe8lTz3oKzTVUDWU9
Csy2Dl0hlHllNN0UBNPpiLazdq8CgLyry6S7HWLtpQKfMG2ioFYWjkiNc8erxQ+nbQSHwBC24ogN
dEECick4hmP/2k4N/S6unP7GYal5DgYnYtGl+QptOlHx1wBZkLcOxvgfqYEsujVQVmfk59JAbLTH
MNZ1e1txFDlv0FWv6fT6g1DctVtY8X6SVvfgBeKbJ+otr5Z7KF0PMqUOq7dTxDYvtWt14nceySzY
E1F2xkmMRntcwqlu0RzksRz166TiJdlCKbAOJAXY112eBAulbnVyUrxm54YxRQdpJPU3GYNwHmku
aaNecYZTrE0Zs5mi9WGclkZxusotvb8UZINS76lsrcwwfMmecosjKPWJsymWLg2pCzjSw20iJwUQ
sGfRdmU+JevUxOpgKTfu4KwHBuuMBHX3knQu1DGw85A1R/G9xvFu11VZy1Q7ly95FSebHuY30ocu
3w4oLx5sIxvPA80uXjraWX5fT3TXetser3GVlNs2hi0v9XprCjU8ckof/aQLya3K6+kwcC58BZCh
LWVgnUu9ig6ZwnZPMoT2bczRvi+i2NWD5dARp7IYOyU6pBkqUirJZHgNAlQFE3SJiHAmcn1HG41A
3Q/Ft6yrdA7vtQsiUWk2fdZHFzajfl8Tgec7jZb4U+zIE5Yr7HgRAyotMPG61MMLNFxIILI8AwnU
bDVV1qtRQ0HiNkzWIRUkx7KB2IuP5EjRGa2gnZpw/mi7BpJlHTaL6Usj2ahORNpN+A2nyIvUyEUX
ovazosF+aorIuSqklMaylKrmh6VyYE3MWtANcXiTlayr5BQNBEKqfUs3hAyg6eDYTe8bY6Ncuepo
qI+9RJ2x78hX2zi29Pjti9R8pciil2wZmXbHJlVuhh6SiAPrgXS0rKT2q9zEe+laV9N88p6mp9rs
+msvtRymAe10UmvlxBTVuqKYHBnNxFic1Do51lXkUc21CHhczAN4SYVWBwtGD8YNvAmxzeqmpqRE
zt438cFAVXbGitBwahfZkS5CVy0yRnUPkj9x1DMmiUvqzOmsatwxoSNZOo+0F2ACgN078r4in9UU
iI5VOXaXCdTFfjE6tnsyFQ0akrRzZqWwWFRMmwnm2EHL0+tJs/VyLXspHnOY10ejnqFCGtlfZwaZ
C/DGSSXD8RdnqC+EXUC5pwu9rGEU24vaYgiyTMoKtpEgN15hginDe8ZSGGqkbOi9qESkC4cSw2zr
HWT27KxjoD7znbOT3tnOpStIBKQAIx9mGWd59uKOkfZNzOgR20ucxxapyQ7LosJEH1tCscxEmIQA
UdDxLk0U1x5T3wHrWEE3fx1MvXtTj1UIWAVz4XpAnA5ylLAms7TIGST73C5klazoV2pQVoJqw6r1
3EVNAxy6JVzHNcNN6mJhHiJSOXRxgRnxtUQBvA3yQtkNpPMtk0zZgZpiGhKdYY4m7diW2SrF63et
9pWyJsEj2gRWCq5dDYxlaiYbQgF31AkYVcx2WvaFnxfUhtwJCov8VWVEsYqEstXtmaeSUHBzRCb3
K/XI3SvCe6+CdNuH4qYJJyKqUnFLcBot1GoWi8TNOafzfFn04Fp0EjgyVdkaUTP4HEa+0Uo+Jla8
yiNyKiZoLxgxxVNTwEJVOZrhctBXTesgqOuJFEkKcFQOAWnrrAdsgUtognIIVMjIO6QhZst9djke
aw9nbZ9WfpbqKzUdnrOO0K023DYzLgcr6/nUOslFb2TFGhXNdOLdg+4Pf2PF1qMh8hgrjH2ebuzj
vBZXgcQxYwbSWoqya9el2oJXMiMb8ZLMDX/K6oSiVBlJ6gDQgN/N0gIUIsloMKJskfo4aVMd7bGN
0QulfL8umW2bZFAwIBlmtzUVJ7hrNb19qCH8x8swTOcME8IIDwh7HLmaCD64TNU4C9e2kN4dcJXh
uTFEcKjtqQdDFYCn7hMLtaBsxbpRGCkutYkDzl41NCjyUgzZGpHqtJWDOizYONR78OTpdQO0G2d7
ZdoYiJO03qPtbahB3bpiyevkvWk21wYOvo3auDdNk1gHFhhaoZF0t0NaPk8yMvAKz45WJIWeVTPt
0tTuhz62IWFSAZMx0RpYyCf0WbxykuwRdDbLQR/RhUFw7p54syLEXhJfK4hz0BKkPA4jW7WF6Wyn
h57Yx5MOlcmlS7BwQw1mml7JgyZY81mF1P5OWEn6WKSEM0Xg4nIQ07Vz61K4zLl/WTosgthIfhoF
/td9+6L79qYGx4Pxpw7c6vmlev7Xc/7yr7Nn8Vz9a/vc/Uij9y25f/6WvxmFBnnwKMRpfHFSRMGN
QvxvRqH+F8AJExoVTiHX1d13snKVjh1mAfdnu05/15Ujk57Dq4p3EEX6mxb9v2AUfnRqkMvhqZx8
bcwn3AlGm0/zTeB8FKe4zNe9jEH1DRvIyT7jvlUymJt339NvhqkalI53s9T5s1tzm9HlghoNafvT
tURG00miIltbOc5kp7saiRaqE4dF2fInr3zMKA6bnt6crzjTucjYEkPjIaWxr0fDYUgleYT69ou7
+mi/+fuuDN106ZyChPycch7ICEx1VgZrGY7rBnFoapOa0GOd1US1nmy5dBRMz5Xtzwd6T3SrMUCw
FKATsBqoV/Lyzzekv33n/3i43u7I1Q3cLgZDNs9SP3lSMkY7CpEgwbqe2nCjx+ZO5JZ5RSB1cE7H
gJrCUkhxSLuW1GB72kcFZWEzWQiKks7cTWH+pGAqvgwaLT0YrRscTDPaSYeE7KGt2FL6J2f4nsJF
69h/7SI/sSdGSb+gx4FO1VrorVh4trI2anSYc1/VpRlZTKsSOUOuWyeVlCxPMrgENUUk78lLOCyG
EOyVq14vrkAfrAiVARfYLS13nDVPq771kCXoe2EHm7YsjrWtb6Ms55DwMLKtKyFe3e6bkh9sphgc
k4z9zFfUzW3i3XVtd9+18FkrcLpLOTg7s7mDi7BzR3AeXbExqmaV1ayFjbhEVAnn6ix1LRgh09K1
RpbMYI/fcZUAeveCdPYOXGddvsdG5w+gVuwE9FubNf58bvGVHuW37qxolS/nbk5rVqcutH1AP4MD
GNPkmiQIyKLzDQiKtXVPB30fY7F1SBPQUotjNZGNUecLUq8pckEp9ku803w9XMYziR3qr4rKuuT3
pNNrbNsGctPUd3SvhgWN25VWfgudcz0vjzkxRFHkLvtZF6p6nIN5Mzt3zYa5VKLrpC+2SnU2Sjz2
XvjcxcHaNL+VQ/FUA0SpcHexRSfCO69Jc/TmYEnG51q3zFzHjxjsiaBuz1TPkoA2gyfhZMppLPnl
nDY5pzXaX+nTUDRLwaOlNwFat8wsvgujBC4mJV9a1uH6I2g4/VGPeXiJKbZ49igpaehY80tDsRpp
hFiBkL92tFa/xf/d7WpObY8kehRYgD3BhH42fdupKu5AdeUAWsBewwyecDMkGrDLwGqzaxcNrK/Z
tYMlbCLeIO+HseIu7OHZquho5rSr6SiWnTiFnYyORmucW1VtX1YThLdGz0r/7T393yb5xSZpqBjl
3i1pv8yorqMkiT4AmP7+I/8/pfJ0+LumxX5g2u5M3/2bwOTCZlJtnZ0Su/n87/89o3KBLPEv2DpN
6M302v7xWDl/qWR3q2RJsR8aJpvrf7EbfmJaM/zCy8VgSoPnRG/ZtGYP1jubXmAA76G9p2/NDqws
oKJkKQry2wKdwLehd4h2nIiuYGDAhimG26hPBDCh3GP60YRorTEL0Wpxv8dhra2CRjpXOSkeu4IR
/ilzhvDnnPQ/umPnreCfreLX+/3kxbKU0W4id9S2HlniW5INCDujZFjYebBSpYrZv/TUk0fixxeb
uWF+VEb9eulPjkZpm5mspDFuiRmKFtPQxGecWl1/YvlZx61SrCYvVRDYVoxOdOsc1TjleellKw/h
5zKWVrUdJ3abYl5xiznnyqnCc5psVMaSb882hjlITZDsARGKcK5ikVS5uq2n6ErCmqjSaIa/WBnJ
fnieFzJ1u4ckUsZpNZZ9eVEwEtugk26vO0MVBMA5xMinQ7ROJXJqEsOKk0WD64Qbv38M275ZaRQo
qGFTfT0inPIr2ZB49p0EcRXIodgozTyLgtq0Er2mQhCAPOBgOtnQpXMhjYrIj532e1x5NcfagkOP
jCx1E+a4SSaY+pjO0UBj0ylIBYxvOeSdt2N/WcJ4Zk1c9anywHjROzRpzCAp9u4Z8Sgby5OHCpLA
agxt/RhP4oS3hvUXIcGKuQuW63ZOHAAr0LnOM4SRadX1KHh1L94bXaAwyRvPB3J5fBqWzbqdj8YA
EJq97IbBhzoMTz+NzopgMvyhUreVKG5Sc9gH0xgQEyJXHaGc6CyQ5pWQPAKLWYda+vCGoEGIGUvM
GQ5Snmuu9V5i/hjGBJKrWqz5YMgcGGjuLJr8T70AcYQdinEPCs2RBPTokrLA2PPWwKBuD8Ho0TRG
herLcLgZOqW7HDLsRQPNE/oorS/MXpIwpNyQfdevYY3ir2JKha6T2AevFcaacV969EITpBbsA6Ql
wc7NOQCS9hTsTBNChqsX4bpESoc6E1Sp16Iu7VC03ihDuS8TsVbIJFtCLdpNRmWs0jBKsWDwNA8W
AWq9BH3Tul7PxIJogl7gVKFjETF9yb6ZTn7TJA3DLp0eaOnC1wB2onqr2qag0tHJrKzeRN+f4J00
iE5O4DIsc0enVwEJgIgTuerRmbedZ20tfs1FZgYb27rL8xo4hkEfG/Y1eOwUK4QSAHEO0ng15CVq
M8eNN2XaXxHKoR4QxfCq9UO/GtKemalsnMNYyOQa9raywkBDs828TgoLXbpL9lo2UlQmbXxmk/iM
esehNQEvHY2POmBt0DdKX23Al8Dlt8UVXh0SzMBbcDTdlZl7FblttCjH4aYZogOH3WXThGcdwMot
ATqr3ukgddxNaXnuICRcQqK4CkPp3gLUjpBFo/dW2+ckonlqiwo5N2qcLAd3U631wfPLMPtOpva6
mUiiBQjULUudKhCqxRnD/HCjIeCL4vIy6r29Umnng8OZmiTqU2ajjV4E4Dt8EZBdykCtqL/Bfcdk
XubqNf0Hv9ZT/QpPpfAJkKIDRFvhewcUmhjBipqMo5H3HKYR/52PhcighiYCenZc9m1rIGmSqQ/1
WCzTEF0uMLh8W0n89TqypYVsa0FaWGJdugGqnrRLplOslu02VUS4N1gXKUjV2wxS75LVrz+MtFBv
KtLq/KkxlYUhFHXTh1q9TVMHJTLMdxVHzaDipGirqzLI2gts83IbFTr8PxJ4tmlchDgDjHDZpJV6
tMsAFe64r3RjXFt2cjMyfdonMIZ4BM27dpzCdQVMi4pLQKHVSexTdFmd6aXbLlU3CFfk5KEEqOiT
xwmqMq+uo51whlmgQM6UIqJo7agdVXVRW2TBKSj5J9a72Fxmk0v0Ru8SQe3YRJf0zoRgtnhFArFl
oNZs0N3qS4VQ8y2CrUeDPs3ajIJLh/nmUgsDhcp86FFnhx3t8VjbZTLOz8hEvnpXmvzmUPrx9Pe2
iyGo1zFuG9ocSPnpTArzLdSUpNa2hVdcFlFmbzNMRy3C7cOfL6TNf9OnrfrDlT6VFkkz5CHcM2Pb
iRbWaOBBe6+7BRh+hj+YLG0dDNBgmajV5pVXOn2x+vMtvKVbfL4FQKomCiDdgDP56WCJ5rOn6zdp
W1YrUqRVU1eWRouz2gXItVIqR1lBnU+um0k2W9INyzMmGNDCO09FvRKUB69voPDWxYMdxdVlQq40
I+SKVV5oeX5mgQHB2KQyamAStyVCLd/qw1CvK4JxoZWp+wqNyNaR4jVHarNQmpq+cpVdch/KmtPS
858/7+9+2/cfd65g3hVzsZmmepFY2lah6XBVV4OBb9StV5mrTMs/X+pjG+XnYwQnBHcr/yAXaP7f
311K65Uga5JB20at80rQKX5Py3xC+ZevKks+/PliM23gl0fp/dXmRsu7q2GfzTp0Q/rWijoSxyzj
3siY38a9eNGiqlyWdtJctCGpJW6jk9quDCCqEmnBPxbNCePdNuaXXNW8hsz+Bp9pRrNvAxY3AWoP
vi0/YWL1Ki6z2FrpY5FfqHGIRSBBypEOGn8bycUoGJXjMBcl5VyemNQpf/6cH/tFb18qFb9mW6AX
XL5XlHHvP2aSwYpX2Ee2dmnBsLc5w2aowCndbOUiQv9LxnvJfPTPV/3di/rhsp9qauz0LG5Fb0C9
YrjuVtaLk2jszBUq1qhSlX0+DmeBUjOvnKscp2+SL17U394Ci5Jnz/wZCDGfXtRU1YZaZpHGOCGt
4LTpMC7rEwYNdC+NpSxSaZ9brkq9iUSZVf/vs+1/PFb85nH23l//05vTAj3AmSLMbZO2T0YdDWdN
Hhj7rGRSjKX1C8TPfFL4tCzxSVWL31hD5fQZ8RMiHKqYFalby4DswFS/X6DwadZ//l1/sxp8uMqn
z1QjnezIXDO3WTMwCOEDLurcXDeZLb/4+X53pfmj0J+1OK3+shhIr82xuZOGFkCj7l3tPrWJ0NaU
Lz7Rbx+T9xf6tA5w/gA1B8KV3UQ6P6IeLrrumBsGM9Dtx9a4TgSTFlgVlMflXCjrspGnP3+tvzky
m+Tv6Lyiqj4zjD7ta0E49LibA9pYTiy3U191N1I3tV0UDcZWGsNtIT3yBjtBjnFHww5MY7l0SvCe
tJueFSdK6KUprJhUFyRGieweu1x6oUWzRgLO659v1/j1YTNVEnk8qNvzHVufHgNF65IgmypuTbSH
fLTAHIbkwkNVVpe2Mp0Gzx7WslW3bQ1tFUaFXHAIVXxMBZTvFsqiLmM5RWVA5E4erAGurDLJmaZW
tHHBIeJVyl7s1DKjhDPMg+Z0JOzAvlwQvjrnk0fNWk6k8IE+Lhdd+kOPVG0x9mW2VO3OPNZ1/bPE
+V+j6otGFUeHuZn/n8XUx+ekDp9f+h8/5If5zc8/9/fwZuZ7GyguHdsA/A3V6t/dKkf/i3CpGRPm
Woy736Kn/u5XadpfjsrwxqMpBfXJNrmNv5lALpJqkFP8L6Sm6fM46L/pV/1SCRieh5SVNQBlNxMm
79NeRQByEFbkFK/sPtt7GVCt3k2PIqueiAhEv+GoBNHMuLuq3QSuaJeWo96FAeFJRd09GH382FLw
2xRomyHs2m1TNhekfDpLPsUcGkRcc8mocVlZ6UPj1ulC9ZIHFL0rrxv3wPZ04r05SnMsBmkdn7/7
NX5Tm3/ehfhwrgECXTUozDXgfR/3/1hNw2YaYfgOWbyCUgaT5zWv5AUTrS/2/M9XYgVDE+9qswj+
bSD38UqCg6PTZZm5qjWEPKi0Y0RsYwNYRoovNgdjXmD+2e2Y7pg2ZPf5PyjDTXue7L2vakY76jOl
Z4KS2913JwDq6mT5fTPmACI8DXpswXnSxhepluxMTtfWLAwksDqgTQgBweM9tXJjRqhQ7O4mz7OT
YukTS1P1IJT+UNjOsx6uTGQteEqKb9WQjUtphFBPmSeMpqgW8GbhkhvqPqP43xk1ZqqmQ7lpqlG/
CoPx2e6mx7KMnozSwZmfMJX78w+rzb/cp+8AGBqNVht/JYeRz3uG5aBzNMi9Llx3E8awLLMBTGjY
IA0KNl7xIDP7WSHPVUdrO8xZJmaXvcDt/PHnG3m70McbgaWFzYjBp8kO9nnzwqg0iExY+Lkbehha
WcJXVZwHV9SzUCf9jtz0YMYjipD0ULVoAK3xsgtiZ2NIfFuZp18i372OB3RdVrkxhfM8xeIpG5Es
pV8dVfWPJ0gCKxhOsghBC1LJu2MJ+fjk5DER4AkBTmtVJdXZAk3rqP2N2anXpWKfZBPd1KSbx569
ndAZRKV6B5oZbjhCH4xtOKHiFbRqdDkawWYY1kL8cEhWzS+22F9+Xe7TQ5FKC53ZNsaRT1usJUrH
jiIOk12UXqPBhFqaZUB4ejBdVktqTq2Rr0G/xbQJ1UFp+NSV0/WYVWtaJl/czMczxNt39v5ePue0
qrbUaJ8gCQpAcA50MhNUMLRA5z7jpv7ycm9r0vsHav7szOY5BPJL4cP59GQ7xpwllMI1NJopW7QC
B57bVKs263kqzGtSt3XU8hk0p0IJl2XmRBd2OO5MNXxyRsNgBB/Ua9FnxG57+UPQIswh6CCL65uJ
SOyDHtokvZJI4gdWdElfv4Uy4i0UYzq6TW1uYxuThoT2TCANnTy90NYM2w6uh2pGYUTGeLCc8UY0
vHAlLiQ1F+ITdQSRUE409TDK6BV91MaYLv78qn1cYn/+EIx2bECLRGWQ//rx4UUHmNZFww8xTeZ6
MoUfy7MhdgFrflGQ/uY1cbBrsykyLGL/tT5tG7BaiHwLeKeN2CG8KvmRWzAyTDwN6LCgT3o15K6h
vzbLacdk4cqANBC4Gam7dfBUwQLJrZrU64l59RzlrKMNqk5DkW7+/IXMoSUfFkGHI/z7+5wr1Xen
eBVmtNAl6uVgso+j1vtIIQhxi7OHgA0auVhH+JHEXRoqYb1Ih/xUDXJcurJ8EDPMBk4RqRRmjT+F
1uPWiKPuVNVVtor1PgFk5QYbUdrmfrKr5K7tzWIpy+asK/puYdKcXMgG6DENP5NHjQvbajeukLkR
H1fOzOyeiGfEjNmaMI92k5vFPSOe5yDEfzzIfnwarfaOqHsEbFQOr5mEMjQEomKiUIoDqY6TD5T+
7s/f2a8PEdUO/StKK41/fqbbJo1HuWFAURNWcNYUCYtgt4wMcoql7v/5Um/xtR/f5Leaw8EDD4ED
z9zHn2eYe7W1UXirTp+MfdtO91MkjYOsyPwKe1hqaYk/KR9PtXgVTtQvC6Oe4dpssH1T4GIeNZsf
xaouNG/84ubma3+6N9RBvLXk1/A2fS770rjD8uEmwSrO0v0ofMdSDlN5+8U38LlS4QEFOMki5nAN
TZ8Hsu8f0EpPRItnjxQYwhRRXw9bcH3Javb4T1FYrMa6veqFlM9pad3G/Xhp1cY6VsmSdswcMSFo
LfQdEby8erigjxIeU6VJFhUWsS8Kit/dqe2abIo8FkxvPy0ugJaCdLCiYOXaBatKlPkwwRZWOHcm
IYtjI3N8VQ1gFjRf7C9zJ+bDLwGXU7dp+DmMs/+PvTPbrRvJuvQTMcHgTKDRQJNnknQ0y7bsG0LH
kjiPweD09P9HObPaUmbZXY3/poG+qyzbZyIZsWPvtb61JgC9/40GuL1LHdfEtzQumhSXJaYLS79G
ZWPckdUXpmX7m7cU//SejkDkbwGFZIH7cF18hmuWm0OOIzB2TxqPQB7VTGhDmAhymjziUPie4E1o
E+uJIdeTsRgod7UT8bxxmGh1feVN1WvmmmeidgH4PPz6vrH+VqfgVUPzQoGLsszjKXr/m0xaK4CG
9xpcQLWhUYwmN9pFGY8LcYskHeQLFChuonEyXjM7OVeL803W3bTDSvW1Y8BOkop1Z4zDKzZPyJD6
LibmBaNRejM6+R5iMFsVhnYCwb877LdbV8W7Idb8M0Du+6WxxnNy0ZBcTijiJwXt2pYvc6k/qNn6
KpjKIFYBJ5LvrDgaGRliOPz1L+C+b9Cy2XmQqnXTpcjl2cH8/f4XqNK057SRuBs5uA9Gad8uXn1w
q4GpUDMVjJAIUJR2ctlMcYGgn/+nZmKLjEVuCaC567vxzuoyNgPNgGyQW2hKOzZ4F40oQAm3dYBl
+hK8pdkdY7mKqGcW7xa/VDc6gsZKTvqbNW4w1DyBFKuwnntMwQm1NdJLEYOzLowzBMxXQ4YKbNTR
+yKpf06yodkoo8UTuA5F+Wh6SebtdJyy7JgXuY2+xn5CNLbRTHwzGaPvvndAnub7ljPIdkI5HpBb
uOysyjS2k9lua43uhr5Cp/qSWaLIUUdbMjQnGIT80blhN99HnDg1NE4SZ9L+5TeXgl/63fOJRBKX
CxoRIYj8+rgyKIQQFegV6jEjbJeD7R6G+tBi4q//rDT/u9ss+5d6pRHL/7G+8Pe6mXnokv5/vv9P
Uqb/fN9VXfPuP7ZvEWm36qWb714kIL6/5C7r3/w//cM/sci/aaAg0Vl3ln/fQLl+Tmmg/Nw7+fOf
/Kn0cYngXkth8lL+6pD8qfQRf2Bw1dHX6DS3dWvF7vyl9TH+gFdE8+THgINj+b96J8L9w+OsSMfF
F9DFacb8J70THsQP94ZD42YNc1v7C+SDC+P9U5oOTuvBx1t2TVETDFiXdsFDOGn6ZYISZdu5VN4K
n9LWL/GObQ0MPUcBRmzHZtNe5BkKgwgqWwQoJAVdGdFRRDnYu6CM2Am6vVHZFI4iTVwGpHAw4p54
2rBKRwIO/Ll9hGZW8LjVxVlqFsmhJLvpAIqv3w6ror9t4+o6RVIMNTnuB39jm5Zib0FBl+C5sdQY
GFbXMW32ID6mnJL9QDWW3EbK1C7hqOQtVm7uPo6pk/aC0g8hjjcK/5T6nReSVAoNx4ZjQzQ0IDk8
ifURNbLzReJRnbZCBywZ5A3xUYTldhBqDOBX2PQrWHp98XVc9PQy7dKHqFsWsrzLgURlp3tynAUG
tNEmd+RfO/fOYhWXepoZe/QccovXiKxJtIJnw6xpnOr1s17ril1cV8vW56fbIn1PQm3l8BKjNt51
BGOEoIIuvXoqLoy4TzkQ5c9GzDRLOXV6F3l2dlaJpgCDNczfoCo5x8RG+hlgxq1WRm0+MK+m0XSe
r2FrodRNgKVSoTEJ6sL2LrQ+psnLj4bUsCiEaINmGikf0OF6n3Cn6zfOLKc7MJqFj5okNSRuubi9
zs1VgYgBUj7VbjK2Z+NQqwsnxlsdMD+KrmuvZMhQtt6wpiuh6L+AjFuYazJaAvrSxdVBQkns38gh
RgPi9JgNdxUu9nM5kVMUNQXuHx2gKqR4hU5gR7HPDj/iXox9aVwxAsu+aSAnIV6P1b7KiELhKw3F
XRv73idQBPbW7r0J6VM5XPeCHAVaTAPJM9bkkexp0Ku/90Sd4MRNTeOLskfnM36eDobt2IlbuujO
tWPQetmAsa0PynZBdvmIcNA/kGvVM84+tXaa3co0MbemluAjxnE1x8eRrzTswHXWAMmKLgorXER3
iau8Q+/m4KHyeNqVGLOLMMrXFblx68vCKHq2+nvcdTQqx2HnasnnemyJwc3n4Ur1/MaQF7KveG/V
jV13yIutZB3RVdfMdK7MeRabXE3Lbd4W5mUGTnnnaJgLO1G2lzjHzHJf2HbPU03I2H7sOlqkc4Ws
C0eQ0S1bsJ7dEmoNjGRL08cXN4u+9mbRHfFaVpdj609neEpIQMkWF8OgLK0j5jeAP4vEPO8Z6LMz
iXAlqIaoulCMtaKdMcKpIWg3dW+rtJCfBamufTglhXspASk/ToZVgUpGa4ZpD8QXAhosVmejZ0h1
VrVkwmz1wfTmb5bORbqXXjtuJAL6Z0BZMG/A7DpOg0edUKqOBpZKxRf0JdN0lmSuLZCcDR67sGnl
+ncTp7oP8bnNMyz4ZsqlWCEQo3IJDk41Xj7UxTB/Sug0b2zVk3VrTJgckxp7XqrnOTG1va2yXYqj
B5mCBRJ369qq+MKsZ9wrv9NsRAXOZ9X641GYvbwi8roi38nGAxXDtc9RGkz6s+vSQZOAqS87BvQ7
pJbRbiAIzgmqeTGvQdjPp0pG4mvRUYS4XW+DE0WbHiE63nlZ3zyMKcCdELi0PTORBtTxHA99jfjb
iV4gY5AB5lLPdOM0kKyj88KCJK4YauNiTXuYabZ8SDUQKqHlSi8Oe8iA090sW7RKrpR48KkZFnT3
CKY2fdVRJqZEH5M9ZUycukpFg+ayQkNhnJXKVOXWNlKEViKPlwewtoAZTCKHVm48dgrKYKtz9oZd
xUPoST+/nOxaY3uJ8ZuKhBjMBUYfs7mo3s8+HH3dr7mURXxdyLI4dh75XhoZ1xzWrXhBeMYNWI6y
OVdOtkjMXM64n6epvIzJXvtk42Y/9lgakmCxjOabAgoCiBVpJqlK49SQoadIrYw1zVt29HdJtS2L
xs0OeVyN4E/Tcv6uWy09zyGf/ROOz1VTmpHoTe5esmBkbvXK3zvuQoWnlzNRt1ZqW1jYkrq4k6Bc
QLkVmZtcRI6ZpBtHKWR6LQt8ek1iWUe8dTLSpaRMPxsZFI6XBcTlg2k7PAXki13Uc5EeRhIGaWvB
dQyzmmVSH5P+zmXcSSxbpz8BA72zBvQ8QZRH6l6fcqsCuyA1nXZY5yJwB3ElAwN4+VMH0bLY5CCH
v4C6UH5oOUA/DmBmh2SrWgcfvEz0AiI8cVwhBOH5JRa+/gmN4njf+zHT/XqY+3sHRc1FyzMcTJph
3QnZWl+IdivBWFbWubQRBtpZt6Z3zZcoX60pVA72Ac/OjwvMPqPngQ2kKJbnsgA1yYazxmYbi3Ts
qzQpJTI8LiVA+rbsUKZ1o1btrcIyXymckL43mlfOtybe5E92Yg7rq+veBXkQTrwn+9r8lE0Z6x0t
p745b+v1hEEAWn+t4afAuT0Y/pem8MGEoM5CSGvptIxspqEoCsBfTxsnoV7DpdblNgxkSB8AMojC
upakQwNiG2TxtY1y/bqD9zoHTA6IUu2GuaKG8KeGUIUCyjhG0mtl4N+GR76gJolteS8XS3sCDETa
qK0kBHUVxyw0OhyCMCmMtg0NTH/XfOv2PEpIID84jT5OmPCVfJEFVnyiUccYgS1HTvdQzz06qU6Z
bhJ69KdkmOgJC7azCOjBWV+Ol2jkGnI9qx62VmyL5plgITvHnjEQ5pa0ZhNaY/udSI/i0LSL+11Z
0HRDb4rA2fYGYqGQnWlhKt1mVA6ZHn+1aWwdbT0bQNcTCxjos8wuB1F/8kYOPkEh01hs8RfaF2Un
M0IphkxtEohlTB0itrKoe1wqUpS6NueaD8pRV4yTiRJM9BJ+RZ1PrCkZzdfCweewI5C9BVK4LDzy
Uc/5viBovAs4Qauvqco7RVeD884uxlf/OCclQpgcKzTaVc+KL6CWx58UQK8XTg8mj/QwFvW2VvUi
QoBv3HrMPNoN8YlNy6qsJFZ9aa2Jo6ZDTo+BtWRQKvo8tB3+HDPp9h2wtKBpiybUynnZLnOypyA9
5HrukDacZdUOhn0Twh4EEZdPDCZQPtWg8dBX6NJlCUzLXH4ZUx9IL4FTIfs+60nOXXkee2Z06OOi
AaoYjw/w48ew6HEQmcKavvqtUxREG+jtKe5KbEigRs3vU4kJNhq2UV4vX5lmvgxptOL29fggI2Mg
8XEGrBlYs2cHvqqdeh9FNE2CPE2W/TwnBp6kvtMfhcVu9CVpaw3/zWTaN+bgeGvQFDnwZlcU7SHu
G/JRR59DMQttlZ+a2GZStbBAbOiogjB0vATCi1P7DcrpjNA09oCzKSUevfbT8TP8O4JLxsIY9zKj
ytSS6mKAjaKRSQCg7aDJ0psIhKtMYD6GPz54UA/QdLd8aFzpcEMFRYJBD8DewDrUXjpLIw6e/gOv
PXndLSuQDthFN5Fe53ktb/Rm9AHniFhboSX+DYGo3T1NeTvfR05eNME4V+03J0V4EUhElWJDgUaO
qDc131Xs8nS4PSGtFzx4FIZplWDpcZR8sMVgHpklGTflJCQWVC9vtmajiGk3wSGxz8YztNtU8/eW
UU8H7p6R7k2iq2ern8G71EvqX9AzKoF31m6zDqVHDzD0jMd5k8keeYpuJKhdSwIZNOnGj0zQnXDm
VmkDoqm5gH1t9j3UPk08+Z5U5wKqzOVolHURYL2lBBv6mHqgXMCeFLrJmIeaUAaLP8vjHDHmDtph
brRgMSLdR6hqlS8sEtlThgfpsvD0zKRh1FZbfjO9JsIlnYBLiiTfTKTyEX8H0RBcCjQchcQ1TUct
HBpTnAsTibBnQjRKbDVuWVWrTeJqhtikrg+EXTgZmlwwqSQZxoX/HPsNj3aXOPlpUnZ27Bob2qeb
elPJEKITJ1OlzWbSiXJJtRxE68y5ETZVQy9+uugiMATtkpO2aSbFtZnBPa5dJzMYXcZO6EvMwkFT
Z2cj0wAMeFr75Bc64dUeBKo0T5YT7mYGTA1hw5ezX2Wnxqgr2vhFfK9KkT8aRBffkyTH+c9lD7ka
miYa94aoZB86rtHnIQ+Wbuz6NfKgT7vuwuCx2E7l2HsBHvjRoyioqns4t8WKL1jmW1QMHoDlhgxP
sN+o0eOqwAw39cVnmZjJYVooLjYd1Ngk7CqZPMNmplisIw+4FrEVa7ImaLOySi7i3lc3+BCSs4IL
8OATCX3PegHR3uRrUBkx7BnyBLbTyIY7L/PwYIzaucMFjTh+fXUzVtvJt+J7LI2/aZl/nE8gE9Hp
I9Bpogfo+2+d0Z9GOo1tQwItQUq1XkM4DuSoAWCMo2HgMPMFPGVUPf/UcLn50cn6Odbw4xCJ/r/P
IAQHL0YC13njF//0jh4o2NJs+mWfdyK7bcalv7ISR2yWSrjnKZPIPV6J5Dcaho8N6PVrmrgj0SZy
vcXHBCgjFTVBNPmEPD0ujtQ1/Q2dVHreqEQfQAKrHYdAB0/L2P5o5/13N9ku0+8dMuTX/n1b7a1V
9r97bv8vteJQH9G++vetuBv1TFP/pevmd+24H//sz3YcIWa+Za+Nt9VCt1rl/vKh238wVFvHF8il
f5jo/mrHCecP1zIYuOGLcCAyryLcP6VMQv9jtazTIzQNhkOmL/6TdtzHEY7Dyu/RLmRLAvZH6f6+
GWc3/qyrRrXUMPbXaFKhRDwdxLFywwKvaAD8b9rFvnuES/H9p1/qH56hvz21H976wyDWyISb57ps
t76VU1olErRgBk8ij05jK34b0bl+k3ctaQZqwlwrXnQ7FsLJ9980i4YM3UM1M6PKrfO4jfrQpzm0
mTwj382yedQJDdtzpdttUShv67sDwUeNbm8GEPsDoPDAWuLPWZnfzL17SfA9In5sx70efWnbFVff
9sQ219mFMLF0/Pq3Qvz2t4/P8BUnAyIm2+CG+jBrMzqobc7QrharnqGGaWYyqGnisbVaa1212MjB
IAEv9MdufJWl9xbIJGNqdSap7NG6ah/zhc5F5ulfNas6Jqa1pw1wit3BDjCFnSFCo0Yd+btGifWk
8rCexKO3d+oEYYM3t8QeGPqDVukW8btFR2oOcFyouC5pTrUeZoAEBzu5s+zsEM/jSTK4wKuwHdC2
TxE8lTjNb90kv2uKGRXA89wRvaZNwbcpnZa9OzvzhrrZvawB82WBaECUeWrFdTgVkhGQMbbHl5kq
87MFB3CPhyh+cHL9ttIKOog+72y2AyEq8TQ/ZWXv7msfsMKU9GyUGS51C/uRGzA36sDqq5QUdRep
XjG2B93N2eVcjmO2FvnnFuHERxBpS2D5mbwZh8g6gGQhn0nW3jfoaG4YV2l97dls1cpf+8/02b7R
oiAHYEyMU2Mvw0ujev18EBejkYxgtRew47onJdrxvN7ZjrGcV+SWBzqpVtZQiZ1Wuc1zmmbPaVw7
ZyMH8dAw2nFnOWuWOUbLek7OI6gkqZectxYBJgM6QJdLY4MAOgjJP2iyiEN8GQEAK2V7yQEMiGb9
4ELy+414fOXjvnucKDVoozgmMkzKQfejns4HL982/Sy2qsCkiVAeq2WI0iHJw8oD0sDk1nzAZDUd
l0Rp35LIXju8Xks7KQVE4Lnmp8kYoA/QssPW5b1MlTffm7le7KUNdciBBXuXQGX6IlulOFxG+uvb
M/X/N7XfzJfWmRzz+p8WoL95yf9X9fxUPlU/eCvp9/oEceVMFuBX5M/73L9e6cdO55t/oA0h1FUg
6nfhFrOi/xg8rUGeiG5QYAI7JsHyJ+KKMP/g/0HCvsrWXJ397l87HXugzT1GpDJLHkG9TJL+mrr9
ub0wsPu35oqPHBSmYYL6SWdHJ0/C9t7mUj/VbFK2ksnF1O2TkXjOzC5PFRimLdN0ScZQ15ClWbwi
3G8QE+SnWkh6rTDCw3bQiRGo4Td5FXD7abTDaEw/DzWq+p9+5H/YET84C9z1IzKxg/zAA+XT5/8w
wMY3bOt0M7u9VyIo0+gkbpHt0/xL/OPQtk+WOV05Um1kzDQkd+Ad/V99ADQ+Bj+VS4H7fpME/NB4
o1WgHSCIMABHPoTr7CQwSYhP2oYTbxThlPXxLSVggTPB5/j1R+By/7yuvP0E6C11cNXMj72PlbW0
IDEVZdHuOwXw1hfug0ro1EEG/fX7fDDS//itUZDwNuuZAS3q+6/qLJEE4V+3+6pmEtJzvoH71zzW
benvfA7O4ewQPNU6oAWGcYTISVLlUZuMWxvwwLGka8XoxYyeZEYmajcZ+p2ZY5Ndn4u9b0/dmarq
ed+VVr7VGux8eW652EEbeCqKYSN2vAXRlnHTaohtk4gfcm6dr6g0z/ROehvYiNF5TKzeqhUjSc9e
kss5+rSMFndriSSWYOWdNZGKNsn8VZgLcRtDcaq00tsw+blaPP8FO/Wdubhffv3LfTiGcIV4JHT6
dAJYA1Pm9Qr+9By5SwW5Nm3h8JicE9Np/ppxSKfZ3oeRAd3fIp4gcNvB3/36fT+qhnlji0Eo6ihi
yd+WkfdvXDa+20iMuntPJsXWw69/5kLDJxqxMUhAkJJz/zKEAAJpCM480BW9n9D1Ki5oMRnbIol3
ikkAanyeKVMY+caPoBPU7Tjvi4yCcOVngG7UKuM39dvH7XL97A7KVMBSmBqYsX8o33QANDDLk2Lv
CwMSsmbbF5D9mtAc/DvM4vU2d/ti30d9SbqRdzZAXF0ZF+SyyIBkl7MfC5A17Wr7SIwbfQ+JFdrX
+NJEo+MsLsw0xE///de/+d+vNVJ5pBycXAwoHR8Vb4Q1aHo38LFHDYCdZbEooF3Lf/zQHVTJsFXQ
ajWrMH73fP5tHeCdLQNVL0p13fY/PJ7KKEEN+V2xjwbZ0Bklct5Pe/mbI/V6xvjpUPB2WVblGp4k
vhwLzvtbqiqa0tTaotgns1vtXRrF512UnH7zI36UZr29DZgvgwMbaCnP+HD167JzXVQ+BQCK4jVy
ow5tnCRIN65MSVweD7mvjewtaHxIOl3wWtrFq4DUf9ssGdwulbDvzH4orIG5UW9r22SJ9UMhucnz
bDQYdGopPGDvQXO0eYdT48pgSn7GdAyp70Su7CAKf6eZY79NsT6vzNq9PrG+2WIyCHHxtW2d8tdk
Yosjqh66hKrQeTz491breTR0qNTRnXpBO00aEc1xDfIk9XeV0qog8RtrZxjy84RbhZEax4eoz07l
QkBtZt6WzRKdRw2KacvMXjvIkwekFj6uluqgTT5hWRh2dgVsa2LWvEDVrLkwGjh9Dj43nOD+rmJJ
o60pTs7APWjl8ScEa8uOBLYHDDTcgX3O5zYZ9vp0wpLB2JIs8EjvjBzBdfWeZzrhTJhlYGmdt5km
YNKAqTwODpn1JHQCyzrDBXUwpicZE0Frtq0Rxk7Rhqlhf6s6IwtRAyAuxKIaMCRgI15gdblF9ioS
vvQQE6IN8RzzWt/fIeJ8cXJ2zxEwRjyOoC08Fu5RNXKbs4FsMqITMGFrj+4KkLWizg/9xPQ445hR
qCyZ7FjLqn1upyfkVVVAZzoNOQYYUAOYcJLtebSL5j4T/gNxKyWPITAuEhWTPcWPycYyWGFhcmkq
SVx1CuawbNQ1BcY+cqtTB0n5DC3GKodA/EYmUh2UM4tlt8bFeIWza9vitfI7A3TMcNH2w8VS5q8F
PN/9RDLsJiZvkrlmaQejeUn6rgFJePA2HMGv8ojENIEUIsgZf28MxaEtarjP6SpCd66prxiaNOE8
5K9arHHHcmVnN361Rc0f6a39ecg5iVaxB03FIk8IffMrOQrcBEhDAtwyHkDT+ji5EuQqBPMQ6vbJ
rMviGvo3dsJB8+5BTEDwTU6MD+sDoQLdhRO5D3rPMKWjPD06maK2Wi8MlcGVdLp+m8O0CN/u3Xnk
ttGJ2wlkVIC6T9KTF1Ez2rF5a3qE/q0J355ObF/OHS4wegdvN2638Lmjatq5k1VtmRHuZ8N7aHwK
mQRm749HANTwCXPMrew7ubHXeallNctlNXGxVLpWGxqvV5eNCZmSO8gUXH6p87jQ9AcJgw7pOOo4
98UYpWEDnH5T9+np7YPzcalisMHuyD6Y9/hGOfsy/vui/DXIoievmoxgHjWXrNPa99ttOnDt3JkJ
0dK6Z8JBu2mjbQ3SHutCNg3HesQYleVRtpv6iD4vCxgDXxYs1+bf8D24dREnrxcYjuCtUbSPdcNz
5UzZa0uY15pAdHpbLiCkvvYTdbQ3sBJUWcwbSCZZfcEO0jhzFnQkCAYQgbKAwwD10EI9RZXsBgM0
AQTB2bGoPZLrWlYlFqqcTOrm0Tbq49vuBLuvJiCbXwADGLH0TvY66xFxa1mNmhWUS4oqatvJqtnZ
k7FhPX2u1nANE3DUBoitDOBsfJKS59jSeN2BtTYniGFjT/a+c4tTT321Lmcz4sYgKZyrt0VJ2Swv
ZFU/ZhOfLVXOlUE2w6Et7FvOO9U+FTwqBNqdZg3GuWd2jBsZX/w4TSRrweLA7t+u245Tu1dv3xCi
/+v6SLSpfbtuBa5j3PYNH+ztGjSGf5ViZkOqFTFdG49eTHKGqNbbpvJgJBo4TmrmV3pmiaPdZa95
ExfgILhVOp2b8W2l8ywWEzjuD/Vss6I6i4bg3B+vpTf320nj+c14MqGALPwrj9SzIpfReb9enUnj
zuPAf1ziSt/YGc/hxGjl/G0lTqe1EHPIeR6ZrPAEU2bNi0cTgqlvwL9w+CTetJMTf+pJLoBKVbOD
zLrsCAIAieRDmffshu1HsiJwD/Py675igtRDQUbxnDv2LUl62znJ570Z0S4iNHsI1ztsWvibuCVu
kSo3uwFIbDDW3HSdz8KDgZ/bdGD18QYujelTUKxXl8njI5BvM3ATVn1OQdW+jXnBduBU8Lb+Fuvq
GLUJeq9cEFDl16inmJ5t1z2OhpVJA5O72lY8QO6SHx2HT22ss9usEfnmrRxWQNm3auzySy0q5k86
E9ADyTAVqhWKK9QUp7d7perLU+Ylr9UyPRBkOrNhdFiWB37qdbdBosHG2PMIoPRD1OISZ+AwhEXV
x9jH6pFVI4tRiBKrducO60DW6VICPPlVbYTIoWW7O2bajPwIo9mwnbRXrJLtRWoBQ7bGygSuWDrB
ZCbTRonF3+Vq9EjjgtydtTjHajnOYxAlNtCqZolhJoK3pJy20t0gmiHovRRDrIt8AXXka93Wj1FX
9buJk9V3zc+Xe1J0mgu9Yh4UN/19htpqzzmHsIdIiEdgH2DNyplpIJTsTaJEtAEzrB9i0vfshWMS
Ts21NGhI6sLc4N4IGJLkKc/kdI5wt/K5rUFUsi3kCXVyu3RXpkisnWtN4lz345PSChKqXYMsuxwo
lzEucpfToLtYOh6npmKxX495zEpJfhY4L9je5Y4ZU3LwNeZyyEeZTFagl8e6gF9ulXqIyrMOmORZ
1Ci0uJISZmk184sNRveSLRRs/WA3CMWq4qBHAM4ABpwBj35EG4JMVTWkBJjOeDmY9RDknin36AEz
TAJWxNvj1Kx6Xoy2Ja+9EPqQCqF26GrOC8KL4iIeX3KiSg6IHsGrT1FC69D5Dstmm8XzdzVRPGsC
ksiq8whrjwAhrYWSyd2AvCEnjtSBsBxEVm3onOFSB2eDedCyJAtNOerbATYlxfONBpcPZgRlog4V
DIn11ou5pnFyCanqIsWQwU04fhL6eM5M0Qu8FCuK72svjcPN545GDltKGNtcaU92z6qbtcI8I0Xm
Ns4zUniAJ3WamW+qmCVTz5TcdKnQDuQG6hs5lTy168mH+I8s0BeWpVSlr2Kq/V2SUD+JiJWGfMX5
k9lb7XqFQY8X7EBW5USvIzLN0BBe8blqlXVhLfrjW19cE/KximhxlJDdv8eLD82SLAwItG6/z2uK
4GRqlx2hBt2ZzhkuDzKNVM63ddzS8iPDt9c2ZnHQhd1vtaH293i7+VfriR6IHMuByWMKY12yyYhb
E/VAUFQpZLGS+7Zeb1EOzHtrHE/+oLx9Xg23iccdE/koDjTStgKisl7Xzzl4+q2g+7CXjuBYyG4d
+JTZSiSn3K4fSZCiRrZ1EqAIAuwR/QJRl9O5EAn2at1Vm8aNb6piPDaz+MYBst3pg91dkNLRfVJa
/jVjT4tpnLfE5p6PHYsa7vL8Mhv5NB5VVSD9nup6XU5J6Fkuc8WON3h9sxtt78FM0WnM5ZECY7pZ
3KmjCjQvm466RhP+UeCJ4dyImKQ3Rhr2U3nvG/hAjGTZ9Yi8OygvzpU1ZsmN3onma6rz21eUyVuR
u2eFxR2GKIRwDM2rKbD4TVGz8DvjCvlcm1WHti4dyUbQ0Ct03G7G2rxKY6BhOQT92WNdi1ABbvM2
ma40zTRA7PvrIr0OO4ahofaWPaywkRrTWIaG2IcsaGsyu4tYkCiNZ1v42WulJa8xu33XsQ/Jyr4i
gkjfvO3o/cQhbC132vVejblNriILg0lMTcDh2thm5qxtNT4wqUfsmRUxHGWwnlqWiQaRi1Zko8ji
qUu2nmFU43VMTGsAu4WLXfXVHttkdD7TmQx8IPTXudPnd60a0rDUxVaLdSKP3ITqjhP99m2Xg+9S
HdPBpIxClbOJPV8ckXCz6hOHFEyJuXwrUXQ9d+m0RjXxAp6P99WvVRwqjbuJDMnoqRglr9KVr/qi
66cyGqpjwa73dvdz3tz2LnJ2DquvNCH4VoVz503p3vGN2woGCtogdq6s0V7WRpVtLUh4Y3+4tFuu
yJyve2DM/alqpgGSGopFIW5uO5/oL6v3mxCASxYaenI1EziMPpMAqnIVqOR2f64pFGToJC5mY1m2
VsvbzwXC0gzJA2xD47roBuzAFoMemMJiA0TS33G3s8UpLtFQWbdvey9SOsmdFD38+uBv/1N7gR4j
fmRwa7r+EXI9ZOC242wmEKHi0Ik5KgvIJ3tsG5qCmV4uO6JNCAlTXOV+KZZdYpSKpab5bLdfvLZ5
0L0UBUrCQXctM5Sra1so3w9EUd7oxrSEjMtIUSBkfJOg+EU+Ptw4pYZnwOspgPv401sj8+2MhNPw
Oe3L5NWZMG/avXMr8gUTktaLo+HM07nTTOVx0gQF3bAWpdgwwt5kDencHGRcb1N7YR36cQhTTFrv
lPecaVF3UUkCgK14rQKTtIaAaDKri73oLBdi+s9b5EwEAAcwSsfUzBD8fccmKxBtxm+qKsmRw3PH
6FwqOhIESBwdsH+f07eFlz4+YVA8bmKkaPz1Zf2HphjhjHTZLHjq6zTh/Udgxoz63sjVPnOJA5DG
khxkR52UOC2+ei3r1pxBPRyK1PxNu+rNG/OhX8XxHeoJNhyLsMkPb82TzeQy99XeayfyKljUNxmK
6rt0RMdrLQ3CY4hx20hfAC/a2U09lMO93xj72ZzE469/hrUD9+GzcAVwBpvEinB7f+gDK0ORClKP
BFmsi8DaMLB6Hmlcp/22sy1C8Vhdf/2W69f78Jb0R5mBM57QBYX3h1++Ytje0ZTay8j0tgXJt9s2
5n+Jon6YJOBtNO3jphoJgU3joTz8+t3/4WlmTsAHgI/yNsp6/+6k+qGDw7eAzIhiLKehE1YcKH5z
h//Dz0qXGSsnLql/GFOxmxqQklezr0itUC0Iobts+kYezpX0ybogVPE37yj+6Yth6+LGRW9Cd994
/8XaCvbAhKV2H6eZvIAf6O/S3urOWBJo5ZAxk7B9EsFD98xw4lM5FfN+mESDopV4sGJIn5f/0HK+
dkzXOSJ2zhXE9rebC8xHl/p6wzOWZ9+IL5hffhS/eUaNhw/s6teX9s1W/v7Owgzhwi2AeI291/3Q
CFaGqzkEjsu9l7pXHQKMTaXZ1baOLDKWqJoDMThPVpF9avTyDFnfpy7FSjmk46Uy8ufeG/EU2eny
G6jCR64FP4ONBhF/M4NTk3CijwNB1KFz7MaSfOiBPk1B8ey0LDVKXzHuhnGm6vaY0CT7YvbNmizJ
JdJQJiNgrB9Fh3mho44DXGcYSFOqmSLDvBpF3wV9ln135MHuYc0uFiVI78KkMW/hF7+qOFljUFSG
riTeJi6dGhf9QogEfAO5kNM2ml9ko0UWWmWfhdJcz9Y6YW9FRCaCHiHsHdZW1jq2e9vYskXvzn59
yT4qYvht1kkyLHP00SjiPs5zfTFM8DL0Zk9k1wT4sY2R0MagPceSvpjbolhNzJTWQWkF/TDob1+T
1io5Sm1NQejSqo3Y6RY8e+eNrrStrTMlGta6eUGvuZNlvFzSksA779EJBe/0u/XsDXTzX8yd13Lc
SJSmX2VfAB0AEglzuYWy9KITqRsEKbXgTSY8nn4+1PbOdlO94s7NxkS0DUmsKlSac/7zm38uOw/D
QCTlCC0YSpsfbjOwDM55TbFJUdpussA3tmBq46by9Etv45KWuCRhBlLvrIxsLpguez2azSfH6q8z
VyT8AcsLUiGmcs6HVYb1qmgGjI4OyGYv7JEHY7MS0mpwP3kh+9eTZnXN8gOIZpjXeR9PGqYgkbKL
vDlE8F+zjLrHmvNVENNVP4ulBeFA3BOmK7qsYK4QDoV7ud0HM3GKAyKPJnnH6uE9hdl95ZX0ezkt
IM8339Vrz1jRvINvX2nBbF4UwHBGRO/y+4X3b18aAzwGoBK7MYh7H0ZTFZ2rbS1Jc0ja0toioyAb
ryJOsmypOrHOVjsx9j/WfmnOgZ96lfycS/+TE+sDe25d/dAi1qAaWzi/shkKG1FHY1nNwXTqPwW6
1pDHwIsV2g7H+bNXsz+YC5xfDqvegLmvwG3V/3jz1hZ+Na7dML9E7p439bxdx5JLa8dhYMUSAJeC
GgdlrgjUELflUr/UU51fuyXFvWPG741vzYiOUIMPNN5IYdDAkfZqYqndDteZGD+xMfv1HvVWExEG
xbB0VxrJPy81LSevREXTHEjexWiwbZDP5yAQvUn/BJQNL84sPhla/kvBz6uxIiAFY3IoP+6kgtJh
rJWN8iED2FQIAGnEJ/zja2fCeb0DT42rko62P7XAU5eBAKhcMUPwdmNX2rW5TSsghIhB0bbLkf+y
ACyiZmJrr6hmG0GLmaBW2QrZvdgL9dYZE6ksGieb8fO+89bTLJXgtev4xbH7FF1mzOqsIXw7i+cc
Yvz5CP0UT4Wyl41lMNRrLNffLAwd9om3FvPRGBxI3oKJThd35gSeZxsECJqYJwbf107YTTtebiIV
24q+CQPNWNO0435ZWIa/33H/emxANYPAw0wY+uaHUrPxMT7RDsdGTGLiHQ61gAK0L3tbItMGWK65
A2ly08B+BzYHzZZ80dWofAJw7GJXuXq88GYwovNZX6LAPaVzii2V06LM6zr79TzadBorgPNT6ouS
cfdNkvEl/P6TrIvun+e9z/lK8QrjxLTNj74lOnYYwaJwP1Qel3E/YVRceuuWcJLhMtZBGQb+Ur46
fuRthUdU7u9f3vn1/IVLDPMOzgtcI+sjvyfwpzwYp6o+mAVTtNrW052Vg/f7BUi4UIHzXDWyxNsn
yU+9xR7JHW7IyQDHTtf/InFbbXvTK7fxwjLl7mKi5DEAcmfnm2n1F/lcvyDPS8Pz/AFowyIhl+F1
tkuwTHyRzToNkIDsGaDkwSxXjI+YUAZpTfpFq9F5Ngu5bczgSg9kJEt3kft55byUcfCTvxl6FIb5
p9NmxaHyIdjkHuPG3z+lf6ksUKbhUYCjDbG10l2f4t8YLgOzuiobk/qgGFKcBwQl0m2kUUyEmpRt
uHQFGrccxZGZm5sFUQ8KzmeGB83pPIZZTEKRGx2IkNv6S7Geb8p9dDIU8ISTvFZM9LfxzCzCQ8p5
+P27//XcQ4VERcG+N2lTP/ZIfWc0bQnwckCVdrAi5ovrUZHPwJFnNKqIyk9OvV+KZxw1OQcETRnC
Wi72DxdiQtDnrEmYPwBtN5u56VbPWa7j8yymPX+9PUOhgfMFJgekkX4dAw4dWQ0CM92dVjrfScgs
G6ganx0eHy/K85tDqQEvlxsQv6B/fpnu7GeZkVf5IU2UABrkPWAEwBSAcVmxPpXfP/5/ebl1i8NU
EhbNxC/XTt5Igg1qYnDlumq98mo2KKiclrVz1rz//uXOBP2/nygwbzGjQI62EtnwvPmwVhM9MG3U
aXJIkkReBSletomjve3kBHtGTUGyGXMqkrSKuTMoQ48pusijZRnVjVM73tfRKYO7DA9SV/S3LUkU
O+V27sYZB7Ub2aNb0JX2kozQCpPT2cW+rEqvKpEhWRxKpptLV+3RYQLGD9pdZ9dfUEJnp6yH0lxn
xHMatY03mu83eBhwzIVGjd2lE0tsdkQynKZo3INIqp2OlYOtUiwu4HIYTFTy2xbHJZRUnjgQ1sEz
tHRKugLxxlGWx7dEotn7hbiSbVH5/rZP+IXENt6tlW1njar/MlOo7csCOrSX0KlFa8RITkUHIqiB
1VPm1NsqL8UFBFUJDywPsi2ZdNW+apz0os/0MMK0qHJQskigC1Q+gT+8B6OJYvDdh6ZziA9P7S1R
a+2lj48x8M9ifcPIWxwwXJCfbDTxsVDHkZ0ijCwe+kJoeP6KTP3tYApipQOj4JaHQeEfz32PKGCN
VK3JZJtaKrNL87ZRqsKabXRCsczEwzTrF1jnztbXncv8oqeu97SXbdMi+V7YmcAaUblYNI4ukNLg
7IjKzLbYdjIIr3S1Z4jghCsqsffFYjzO9ehcBeuPz+rutkvsR+nBNhknFyaJ7MWu1yUJBFnrfwI4
fby8oP2xodjB1DEcNOaHpc7JSXafyv19opeDRmoGRPTJ7v14eJ5fwoNhuAY0YoH74QHThUmAgNiH
MJA1CNCBXweNKSzp2JBBOpyV8E/5rCv6WBTwopydDsUN/QTHxocTigxxN3MT7e1V7akdwy8dNoup
GLvlFoQBRnoGzgmnWptR6HR5+wmsZX2s7dH+rAUyTsYgq8hjPlTKM6pEfNtqb9+7jcFcPmv5tsWy
RYPNC0YyODVB5x847R6BHfJD4bjD0++PsTMD7h/H2PoegMhxMiKsNVgJ4n9f2Wwb7dnacPeZm+Ng
Oqv2WDpC04ib7bLRQxpg6Wa2bxOxrzc8SOemnmCdVp3tPxi5t2yTwcOyf3SyfU8IyovZEvRcqZbq
Lmn2JXEZ9yOa1JPUHh+nS7wrpRz3ymtG9WzHsBLw6bXSwxh0d8KLG8I3jOKT4kvafIZ/fEYKWCQT
Lhq+NY70I5lyxp3MUVyh+55ddTUKrNfMJrbCYKiHi/OHCEiPuDPH2LtqE36BwWMUBpjqbAsL7shC
CbYVYBGhSKL4GMSJv/XqzGBfmy0xOfbPBi7G0RjIK+h9AqnSWHzJ7VLsGp0OF8uStMdCuRoGwIKs
Z/IGptqEz0gsz1b7zl3hdgsMn3qdsVfGvmwwONZr8hSmPftcq/Zm4k/uG3eAYpHE97MhjdCNxuJu
XprnRWeCQ6i/kGSSh4uDAWCskuHaTr3uxag/k2CKX25aHicgPJxKDygYs8h/LhkSzaN0oW/aY8AB
dtIbOvSy4SqNxwc8pSPUWQ5+wB0eH6k7R6EN4hVmsvGPObkrGxwFshCfJgtbOLZZVg3JJTlUmFzM
RE2beEdc8lPcqwF3ISbCDmn2ZJoRRJq4h9wcvi9ZE1zS5Zmh2UHZk13r7JWtKkh9tg4Nt35GOt3v
h8l4LAGkt/mCrP/3m+ajlSk6Vouemx2LKSUb+OwI/LfrIEu72QVOkXs04v2tj0bhmz2NDMF44xE3
KPKfvva7QzdOxl4YJSFUi0ourazzCa1D65wlUb/BF6N8SuOV3pGy7fKllWiAZWbs7bFhYbpI2jXk
uK2pWSPYc5MEnfoZ4nff2s04nE9zYsElcB7GQbwQv44qPPAeoiT9Qa/TExCn+8uyM7xjDGnjGumU
f9dRT+6SAo8c/J1ox6uk2Zbj1B1csIGDw8hvz2CShY5Z2G4KCvEJhvNva4fJhQPozbnzS1E4T2nC
jJK1QzbFT9QG/t26V3RPVjamecMnMK73y82FtlIKGGoguXaA0vqfS7XswarMvuOEhU61xWs4eIFY
llw26IVDcymnvTCj7CZxu+TS9jUHnqb8skYe+jQoKnh/jEKmiV+HILoaY/c6WmS7t2D5TC5GpFm9
VTP7esigvPJ7w4aacGsErEudcX3YI7uZsv1n3arli11D5rMUEjWrrttjL9gDDU3hVdaa7i6PRbxP
oMQ/jUOh7xn4I8C3k+FLk6Yo1Wx4GrlD9rxwF7XD+2W4hswVnJjIfunQxxyDfObkWIKeJLDKu9Ko
K65Hk2O5bfJ8365vh4lpsRbiw5OcWVvtwDVjJHh6htL2sn2tutVqxshubLPGHIXwwW8i8rCKwfoD
3WJSG/tAl8DOmE/ucWzgMPIsd5eABVGBsiGWTzbav6wWFglYzMpHX2/Jf359resWeRnDivU1pJxM
8vw0OYrhUjv11pNsiN9v7F9fj6kijHRKLBp1+bFLd/MKZvBCOnNRlhQgDbsB2lxwgnPkH5NFqk92
g/VrYUnbJvlsGPwFDPOC9R397STxobcpO46dPTwmsUtnmKFrovRVWjKIqhYzuUS6n+7i1sUqvtdk
63JcuATp7eqSze+NFaOA0YvCic6ZdD8uKnPgq8aVVkNKsLpDo/goqVvr+7LluJbVernLCKcEHLbv
cNZ6wyHEQlgpIxjXLDrXKt7gL2Jt5sIKzerU2MZgk48k1rSnxfWviyHJ90wZfmK7Q+rlKH/mXvFG
cDJiZrOb9jPp7pfgWvbO6ieAlVo/kmHJSWVw8p+v1ian1NJ+nLzAKBP4DUK4tyD5whFhNwUBt2TC
Erysk8K8HDunO9TueptiGRjGDXVJnnLP9GWPjHPdq7PN+aHLHhuthfMtH1jni2KJ51q3R1jx3D05
x26bN+o5TXOCDSvuzELzhhrPI/eg4q4PjIQpwExA1P/61YL1TqyMsdeeQTdfwwzBvnBU4QS1YDOv
t26W2O3JSXOPzcJxkVoj9UA3LTzEqT0lnelfW4oBfl/wv0EX+8fWY4dWCb8F2TOhCFFAMFUN+RvO
d3fQcatvUgsWUdVFNfcCH9OQVnYzGMuybQar3fVzvZrdR8HJxsFsh82bfygW98mdve8lfN0wLxz7
xO4crtDUiB0nGKtYzv5hUAUlS0oZfd7uuJwsqCEw7DEMbgHsebIwKXn+SSA6mna+jvPu+v+m+1xf
6D/dDP57WIZaJKJY7u9jV/6n7qu378lb8T/u9NuPP9vk70rO//MD/pJyen+sOnPgfkFIH2kCFFd/
STktTAs4JQJpfYwLDv7gPkU/DeiO9pPxzn8qOW33Dya5/hr/AxGG4bn9X1Fy0lhwHP29koYCAb8c
xShCMPTHH/MjVFw2c8qldNJpGmfHfmnzW6/FO28roh6frGnqi+xYFlXTb7wG579N6le92mIYaZ/A
xbIddiJ6jWyX7rVlopDZDKjQ+w2ckvQVw3ESUWMfBc0O15/4YqldhC5S2+YOPE/EN7WUZUpQ2dy8
EqCdVNvaSrEP4jaP6aNJZ/V36Du9ZyK3nb3VeYQu+M2ww+UMk8rUd96bZc5xoKcFYV6LZVaxxcfH
X8IF8xQCypHvHyeMFpfQnszZPqoJO2cNLQzm8YDQ4k7YivxHp2mQfszSiq8rXHi/UOc10SZXg4f5
TTY2MlSGIiVYYF/8M0nNeoEu4bPTHcdw7qskctCjRWX8otBvwSnxoxm3QqO7azISA2BcVn3oZw0W
e0I7w1uStdNJ+rIE12rc9BXeR3vUkcPFPdamyZzA1duxtN2TZXWwmitq1g3kVZtccsQKj51rzy+M
j/xuU2EFhBOmWadHEqhpF8Sic1CnOSvlrmk9cW2X1ng9TotxKUrsVNTipMuNSMveerC5owjOdMhM
3xN/J4KvA9ZJp1kR/rwrAgzkw6WKbYU9n2XgUVTEWHCfVNtK89Zfn0uOSbrAZTZDB+E/tshD1nqE
6W6EPPOF2SdaynlYH1Zy6rsEt52qGXf8GOcSGw119HNM4W4tRERxWJKpYt3Gns/k2fBIl83GTGFZ
tNpF9OZ036Xmz2xWGDXl0KhGzjlSqUGHwZDsjVYWLqJ9S/zJHC03XM04wopUIn1wun2aWzPsQQjq
hIm5IxzcoPceAFZx8DMslI2rWYFR4IPoZNEDpVV8I4rhq90IOhuXKSjrA0Kf/GGV5aka9Gmc4upg
FGa5znbscOUw7wQA3nVsi+rCZdnc42pjnNxpyMNMODw6pfwDYqNVCr06H0I2iA0nxBQ+3yyRf02D
QkCeg99qNeAFVCRkddumk/xwcK47+Hhsfk07Wd0MIpfHflhFVEFNXleQ9Bs5tPFt7jfeThR9fe9p
p75hjsp8Ppe4nTFhWwllZvQUF9ND3mG0NePydZp7fMiV5+mLxk2gGAS4wHuTwNW2zlBtZwKDISun
YML2kaSHaO9GBSGn1Zhv4FNZmyECSrC6/loxH1bw2EFaMlIVHoukuRsaDbPFXMZNj76E6jnpbqOk
aKlS5o5aBUaXLDOoVTbXmA7jebinS8Uo0TMeqqr5s+/Tuxx+xUZGyFOKDtusKmu9265jl8W+AVGP
X2G2nVcvoLkNh5EgSob1PxNcJsvoR2ElB6uvgjtuWvNPnaWs9Lq5bFwPo8sRozczwPJQ59NPr+ou
ewaooRoNvvkGzzkDO2EDYnC8WYq+g94gUXIL4sBFSvNBqFN7lSWGhygMB1ga/SkcPQ8u7iyXF4P3
vScHZaEvc9QBg5Hx2k9yGOG+MT7AL35wuyi7KGTpockoBrpD7e18Z3J2WI5UX3SbtjvMbuMNo+Dl
Bt5S7xApPMljYkUCKZ8x9FvssoQZOg6OETN5KAM+u/b8nGZdvZlFNN4EAe5mbu7luyCR8nun9M9G
CbE1e19dTG4k9ok1Bjua+jTEYbi8k6QRo7hr7YsJZuh73VTV3qR35cOTxn3ndGYMOZf4U1YCJ2EH
lWcnZ+V/HQM7/tHkA1TkT4r38xDvH7cTJggro8NkBry2DR9wyrrWKsmwRzz5djt0W8KjSnfbpfV8
26IxeRrrzuGMq1EWjIK0hk1Fqt1jpYwZ9KSwfvQxoYFXoKyWtcs7CYfBJoMTcRTfPuR9i2tqNEeC
ZBMPk+IdA96SDGV870+yL/3xdkK/j1tIvoy4pon8fkaFJLAqDNxBXjbp4l8vS5/fJT4evo5qotVX
WQhip+2ufYcXvRZmifs1b2e82Kp8htLnoVfekK3no/vwkCkEUd6extGbDz3n++USG9O+wFVys2CR
eWTyHlxgjY8Tl01tJwoUZMAL3XOQGc3WJVcYCTxAOqUsMZsddQhDaJlB6ube6vwaJB4qY+iOJPIe
fVcbeN0NFu3oARIrwYoT0rujNmdZXnlOilOPxr+TiZvxJwyv+aJtbedUxLVaQu2Yxn2eu81uqjt5
W86tuGtFggfZOO8WEgj2aYqjtVUtq0Q2s+rbEtPx0IdjfgtFVn6tjEZsB+Erop0Vw/GuajGBZGDa
mKRmCez9E+lXYYtCNJsvh6B7qzvr0CcoFGww+Zsmex8GumjD8q9qi/5GAnRumUi194mZoxureXDU
G2HVm/CqQNaNI7nc6Rvl+mroyiSj94aLzqju7bFPb5KoTCB/C/duSJOjBzh74lrJwaDc4ll7xHht
CMtWp8Xr6T3mph12TYwoBilB9ZLNEA1Mu3mfxkSGWjvolRYkuBZr81Z5ynpIY/ndg6pwXyfsPFgs
/U3byTbeG36CU6pPw7acfGxz44tqiIPqRzE7zQt4MBiZn3sBIZjOIG+apRlsDmUpp6/BMlmE/5Rm
8zbD03nFM85ZHmRk2BXvz1MzTi+xerVEnNz4TScwZa3c9zGLvFXiwzQhlsJ4p9Vrobm7wxhWVicP
gUFWrpdgOWuXmfsghNF9F7AvNrkdlA92NfXJzmNAe5CFP4SF6iUOMom+7nFdH5jVVvE3Wfrxvel0
znWRcd4oNXLP92O8dZ0p3bmu4T8qkI6NkwqyPFBZkRgXT7F1HE1VXKREySGfQ1VjbtrCyO9xSxzH
kDGXwDla56lJA7Ry4xwKjnbHYdcQiDFh2RpzYsGc1EuvQuam8U3ZxQGP08649j1o7EyQ1f1cZ+XX
FU/+EyPN/kjphRfoLAh5EY3KcJJl0sNG6KtjMwcLp5+P2G43MrN/diWajXzOxU3tlMN9nAXBC5E6
1mNaOuAlOorvFwOfnY0wdfXA28gfrWXh21UpVxPG8eaF64/DZaIciUDcb72rJC+GKtSBkjtMMdqd
re3XGaXUBcAL6glzzrPXoku9lzkafw5Nb5ihZQ3D0TKrvT2nXF2jzOQhz+fpG9wsnWywGlOEdyJX
fEPbOjzgJO+8RJOHn6ldDlGziVvbx04LAdsRZEh8W3J0xFxKxqvbpdl9akXBW9Oq6dFyVugK0D0H
wrcxEaMKJ+g7M4diBwZtx4RO5FjjicX93rtOdmyMvgO/Ai+fdrLPe+7VGtA4dKZu/mb62sCtCVuA
TRVlItiQaZXj7Zqpa6f3xq252MMPs9ToDsyu9b/SsesO4p5tiMs6xyh/k9omFpr9OBM+30xpGTaG
ZjLacVm8gh+VD3L089MYIT1zYjiL6HAcQDAnqjCmCKjENuMQtBccehi9mDN5INs6UuW8kdNof+u8
Zs6PkzMm73NW0zSXUTFcN9lCXAEGkkiLcq9dLn1qbBMLrfhynjhe9rBOvB8EYlhXUer2F0lm6/zA
XGp5RjZmNzurs+CCxpPxVBGQcte5lf9eT1b3gKIPkHFdkjRPObbgOojZhCSWAT76ijUSarCpKwQz
ZM+iVab/wZGS3JEuxuwS2Dq+QzqwPHZmatzO2cRh75kJlLlpKYyfXe9UyMlKO8AmuzXlzRKkgHgM
NYdrhdDtdUmEeAdmnNHoZbb6c+7i/GQp8mdC7NHjl2oCuSbyyovxW3Gcn3a6xncB1qld2aUI7VXq
TbvIGPIBy9xcPVuwHUdC2aZyB5HErzdcouMuyP05oTpoJ2Z9ydJdtjoLbgErg3ueT3UzdhZVp9vq
11KN1s6PREXEOMVLE05YobyWXd2RfON3vcbYOZU7Kx6nE6ax40GUnADbTAKfhBlkFQJcmqm+RfSd
3vapHR+VIVp/MzqxOOqKwOmQ4LwBWXKWd3aYpA64UKW74BnRGJ7gsvaeLDJv3+ljRL0hA9FxNqqa
3ZmlkOobPU8zQFuHBmvW44ttmg+D0anHciBactfD/bnF2cGs74ieTI7DYss3pL+rP/RcdDdpbE8n
JUfCgSe7femVaH9OsemXW2Os/YfaRLW1OFn8PI8FN1E+eMmJKPkEFq3nYxKKOC3fUwgb13ENr3nf
N0Z1SkCYGBmI5EljWXYxV6LTFzk+FBmZySSNb2LtjzdVkOhbz0fWUCRqwbOgnDYoAdqT5w7+K7Y6
04Om3Jq2FvLjE62SG++tSRQnOPil3ndqLrdLz+pE+zjX3q2ymL9skRGY4eIP88FUo3jDOVufcCSo
b0wycXAY9mZkRtoZA/rJhgosAZyMN4EypjtDjyUJlHL87om4+xE3hQFlK/NLjfAQ23vSg7nUaGcH
xEtVR3irdNV2qAwbAEKOHmVRNj/HY4aVMY8Yd9ggaDJ6aZKU2u3qKjxscB3HtDUeFrE1PF/hz953
j44sMgtPiAlk2yxEFR9IGJ03UEDUtY8l/YEh3qof76eXpib58LY0Spc1rNdzs0lx9iXtj/NIdYys
7kiPpwoY6ITTw6ScmfrCq1dTVKoiiDB2vYO9PbKYi2DZNKqLvy96EZet7+fmDpkJlrlBGedEHzF5
vIR3pcyNGKN5vhiLwYhPmN6Q2oJ2dP7WBJRtZp+VT5MK1J8yH/2TaQTVVynz5Dmohh4XbtscD6Np
WKfaAlB13ak/EUzihwuqy5+5Nc50xNAmEb+WVTGFqvUHAoyiFqqhNA5cSWrLjIE+zqQZK22PNj8G
TIEg5snvDlz5VdfXyMclsGD+2TSRceBeePAa9nPBIAlLkOVhmGbzpgCd2dpGXm+CqJ3mMJ2y+r51
g+h7vTTw5aVWD4U5zdzZbdvv+7oz6Bc7kd4vgFIMypPiqxMYw02RO9Nj3XgVfLAFGRTP2rxNPRh2
QdVE121hyouBDf84d5T+2ijmY+xNOEylBILVvlfdSlvLR5Y9lXDmXFig2qfJirqXuBucy9K1lktv
sWCQStGfYOfjw9CJ6mCTNdN68oGaXH+Btq0uMVqA/9OL+pi7qftq8s29RyIj2nYw5X5IHb2NFiu/
avoqvWu9OQSmwj4ZB5F4M9rgDBh5xz99J3mKIP0dHdnsSl0IWHYBSXv0mbtZSH2FF8FrMOBPovJ2
PARJoHeMjFDtu/CNgM2/BhxYwMvNeJJt+t3ymAyAVmC2pnHjhvNOPWD3F3aCXaEbd8Vl5Gc2iQ8J
MTPWVHyDDVxdLw7ZCQE5ILzJoj1CYOmOzHC9rdH52Z7P0+691BFbeIhBzeX5+zbuF1aEKR1I6ozj
HcvBMM/9QM03OH6rkYPkZA+pTdm5Vmm+qOObZqycMZQsoTmEiWBtml5gwzP33gljuehTxdsvg254
5i70rhVb5V/C/6BN0X2EoNTyptNMnkU2tN070PiIN9DgBO2t71eWe4cpvMckYSnH+2Gu6f9wnOgY
zw7s78QZngl9k+BkMzGjxJoG4GcikaV6cyWM4K3TGvKrQoV7x1CdJ++K4sVXBgLDMyBXjoP17lVT
VYU2XeNX4A8DO5BOPNjDaHzXCRlIaIHjJ88UvYfXSZy+dKlYxXCDcx2YKaAAhgtfidRgoaTJ9EXV
LiGkILHBbl7M/BLrAb0Vcy0oJER8OyK7DTvoSveeV86XcIvFdV/EXIeVLPZiKl5sUZtfOju+8EYs
ru0VtPRW+LI5I5koQzghDfjeyQ7IVd43Z9gzPkOgkL3Mn80ZGLUd5f3AKs6/m2Su75d4sb5CJFRq
ozCiAf5aC/apkz3+YrGfHlMGKE/49LBO8UunurfOlX5wrvoJeqYDIPl0/i4rzdnJBOw2O/cJVleL
Y4Q0YNOhlbShkq3tBGiS+waFodhIopZORmQ/MSDpT81EnoURgYTmyyyJ4wjqla9AzwIXgfbFXzuZ
cu1pENnzv2ufEyVTl+z8hfs5q2e8O6yRjmjtjfy1S0qSMd3qppQHW5EzlK2IaMhpYrwX5yZrWvut
bO28grUHs9dubDaAtxUuFTPu+j3tWhMk9vLgyjZ/lXbRvEkPnuu2wo9o+oosiIckSXa66Rb6y8Po
uGDhAOnNi44at/phJG6f7nBqj392AtnS3e/3q/2LLAO4BcdC5IE28wmsTT9wt/oKi3g8K/pTSq11
3RhTjHlNqratFvmpKk3/pHxdjmHU19Fu0vi3FnV0lUw1mlXDHVHAdrECTVuMeAsCUDWbqsyJwgoU
Nu0OOOkLI+tm2MSpUA/OiM1DY+NHH8/piCp3uoVoeDuilcZKYLSGKwtBXcdAYYq+w/sUe4wl3ZOb
qPwLTmv49E9udiFc66ERCVTG6A6LOsTZUQwhQ0R7y4wf2OPiBpXwNY0Z8mzDMclmSk1pIHZaeq5s
5bvHJFUSzw2XApW7wzwOjVfcuW5m3onagstXOzJ+hHpWHWJsd3bx1BvxphZrHC1tW3vD4aLufNJq
9i2VTLeVYMsjISQiGHZyKvKLRZmlCnsLRwca8Kb64fWrZ3Pu9xSSsruzg6F9XuIx2tYiG1ZuUUFC
5oTu2iq86DVhqvA6yZnk3LGsyant8uRAOqeRc+s6HjOLrNtn3hwfK1+y5RwXFuIsNd4Gc5kNP8oo
CLi+ejM60AlXJH63wbwSPSEZbryePAzX1NGXaAiS9xLfH3iXcbqLosq4n0BGQApSnyxzOVwUGcwI
20ytG6DFhVVJ0VlkwXQJSdb4FuAFt+PHdcyH/eo+TzPfBudt1JM5R+wAZKabYezW3KtmSPYuUR2I
4uSwn1GavQ62lT6SF2w/qwzyI/pbMwnrQXE0EWr2ZWm7eIsVpLiUnFKh43ndrmbWgBoEAxMvsbKn
ymwRxORJAOsdealzkQrTKWhi3OgKiZR5cL3EZF8HmbhqyvohCEbsbQoACvd8E0Hucr64ho6vRyIF
SuAds482mag6/64irUcQr8YQyTrPk6xu6pcwOs+ZzHXkpEF1F2ba6yQqagumUkE6ZxgsVfa7dZ5a
Bcyv7PMkq4XqsmcA7T0X50lXZRuG3MDqXS0cOL2rLadb8xqD7qVHAW0pvkGYbJm79R774fTjRMzH
ZPuKQoBpW7YOtDeNnvgnnYFwr3Gt0ydd4Hw3jtI6warqqKsVESabPliAmvCmyrNj5rtkqs0AGHKr
8ca/FL2gnlBnTHda4d1cWi9EAkDt7eJHjMJeUr1uEDtjMuSlFypaYPAPgbdvrLpf3zU2L0xKL6eE
EVFr1PLY5HP79vuDSn6cXWIBiAm57Tg44kJcW2ebf6NamCDzOZCodwpizCOCW5Xrq2b4cn6R/9KM
+//Njf+xLvnro2H/f88ZN1S/tTj6v9vx37zFb6tL8YfR9l9/7q/RtvzDptaBIooCEWdLly/gr9G2
+ANPfXeV2mLBS63C0Pt/x2O6f9CuYt0YrAIkFHdg+n/58dvyD2JnoKzCxHPxwmbs/cGV+HcuxTi5
f1wfWPwJSo4Ardg55+Gf6wP7KtscKLtOcyqYGnpvpFwHmxT/jZvEmaOrtOgl4uTyqW5ydyvx0jko
cyreJkd615mPa/HU+odMosKi/r5jSyU44PhPMUR/nGEDxAj9KliZcUUZc2f4MrD5Kf4Fs9umLx7a
BPZ9Fmh99BPnlXIztFv3em5BmHzJBY7ZB3La6EuPfsJlnrEzc1KARBY9TUnk72nxC5Jw5VUpZvfN
S63iMOTBrq2ZAud+sFwTE1OG3diVpD7i+TbAWAVuH/dkF5Ljnfn7xfEZYDHWFFtVAqRPlrfaopBu
xUFFuPKRb/DHaHubsfkP9s5kOW4kzbqv0tZ7yOCYHFh0LyIQcwQZHEVxA6NECfPkmPH0/wEzsytT
lVXVuWnrNvsXtShTShwCcP+Ge8/Nz+yDN1Nj3CNUOpWqCtesQ9awRH7YIh6PWhQkiOlSd94ZkXqI
+d3elnFewgXTqh1nwBNpLytHG86dzS/TayvznEz8yLGZ3lgFTn+NkWhR1RfT7pq1q5f5Lh7bb5Ux
zTfBc+PhL25qiHPAkI+WiDKKppYB7OQzct5k7L/q3KrXwi1+tKRd+Z6D8o5su9FdMveSx9oLD1GV
Gz4oekI+Mc/g8aD2m5O9NnV3mmH3aK6a8amLZ/tgynxTdcbox2lJ687KYpR1uM/LMHpAMQYtvf8a
2JNkdmpl23GcXBT6uXVr03WtMu7l1RSwEUZzB0K3RdKDZsc+GGxZHs28vDfT2opWnFgd+ebR9KBn
wcyItmmrHWK88HZ0LixHngAewSZInOI6KI3krh5Jp27dRsnos2n5HGYTt2rFjdmN1i4ZSEpWzUED
QwYC//MQgvFhvD7ZU8xH1dwo1f5IiweK7crv2aXtbVll6wkYJUu+jTX2ax290Kr2TG0djGAsK3KS
p14/pzYVDNDWleu6SAanw9joT0H+TGE6QmxE6zo6y9dODrWurVRW6U/Qrsgbm4g7GCPWM9siKsgc
cwexq9mvFbZ4s5jdnWbh/aAuuCzRMZaeH2VQX83WZReW+Ix479UciS89wz8dS328sUDTPngOppEA
PtzKmKQNl0Vpt4wu7StjQxb5HkvdAn0o7UndnUC0xe26mWznmtVmdTSDZjollnLfmDhEqOeK8AQx
ySVfVXUHwMTZ58QEmcNeqonPkRHppEyGaj9JFT42khaFR7U50BFNXyjp8LbXQ3mNHLM/SFlkr+kU
SKZ2yDcz0iTX1HDOKSI664TWytkS5jRsWyEYoGrzeMl7K3+c23h8BFnVHRNG4U+5Yvxa9/SOK1V5
6q0NeunXIurBNXn2BbZRdU57d7hjcW3e2GLuji0Mpy8iyTrWMOy4gHQ5Jxbu6UFFnn07qzL6blpj
Bz4FUvM7irp8YB3Ib53CNr6grR7OdpC1pyxwhaCS6vUrUVn6/WD29Q2kL3HO0zJ6AhHpXWqPkQSP
ijyb2qCfc6tEMIjkXSDNq0jiIeD0xuMH9KO2ne4Ssu2Kf2GhMHWuht8pklzLxdBpQUzn4HYgUv4s
xU5TQj3NZmYcFobZTWWpsj8kTd/cEGFa+F0AZaESA8FIBtswMaSzP7DWoMJmpGK13ZPTN9o2MycK
HZksi+pGlEB0Yn0LQ5OwPSsOWZ11mIrxAttXp9CTU6vnNzJw0LfX3nytHFGsINpmlwkgHNKS6Mlm
hMhc07P3GKGJlxMNSR+T/ahUFK26bshvnS7E6jNMXfBYDYOhQS6f2Js2cq7J0ir4h0GAQfddO+wd
EIKiF183cdCPOz0HeLghGqP8whKMrNy6D0mdnUXxBFHK/YIx/NhkpDyTpX7fSQ2cVlusJ9Pxq4LA
srqVhR/rGRrCHKy6GVr7KUc30XXmfTW256hSDwGkVqTMeos4y0boQizYXAQxoFYy1EzYT+hOk2kt
ovzUzFZ/ClR5ljGvfxxPDLtYWw7EBq+TTk0bogXLVT044beotwfWbYO11ZhLQ1ogCLKk1uWMEdmW
fJLkviInxa+6ML/p5kEuEikepVnyVM0gpM8Iq+R56pLmjM3au3Q24ZCRHhrnMHbqmxRr0X1JnPY1
SjE0rbHktSc+6/HMoDq+DDqTMaZNPO8uxqp3GRa9tTKlGX1HiF+sRxWMW7W8KdPyzrjL20N8SYdv
nTcqa1y2N8Fo3qSsMO6qOq4JnSu4n6OmZzLFVYnZucHEkDPGBjrO2mR5g73lXdaXt5oAqeIRGed4
QfcXHqreHLb1cg6gzfVO0zw4p8oq03VfF8tzULsPzCez13g5TeblXJmXE8Zazhp7OXXa5fyZl5Mo
Xs4kT6v0Q+oKPIKhw5E1ovP+rNy5OyRpvjhvhvCUtV207lvHfUsyYzpVgVYddQYi1ygH8b04oLsT
BYjzDRR8tBvR/277Knau/NfabVcTtiYI4t7EMX6q9dRNXQFyREETbWaPCiX1BD+266XM3WEJJQNN
MwZkH/Ktk69FaKoJb1GU9zeFTEjktmsbma70mtk3vNH29ihMELqQLhxWn1Hzq5x/Jq1aPCJm2u7L
UPXh2cj0ENxqw0R11bVu3yFiKsBiqjrGwaqHGrYTN4qm0PeItgvBhNoz9zWNp44qAVAVr0FSgnFq
zVuTQMaLG4723ahJsc08s9kopM/3zawI0DRnguF2sHSzbKMpQRMbJKWHwKMKvi7+iMF3PcYvKyXn
SNt0eUYF1LNIIMKXY/NlzuBQEeBYCM6WKUk8HjFRCxgZrXGf0lnVgELvZDChPkySYaM3U4UWpNg3
kEvozNuntj87M9a3MNAv0vWqiwWQcWXgDGCCbbIFUnGw1iWpjCJg9ATvmFzNshpWpiXxa/fJK0Lr
YTslwzdRmEQJKRNZ2mRcA3YyN8CLjTWbta+x/IokyDtOBnRZR06GD311OJslVK1E6jsZlXcIuO6T
Unr+mLlXEeBkjXLprMOceVtXW/LUOqOzZ66Dhz02jxCn71n+cufFwjxr3P8bfa6+ZU2pLZ8Rq7ip
Ag0bDVeu86dZVDGAuiE6NN3cr4jvnE9MgYfViGTnWbj65Ceinn54JTLPNdC2yiQjs9UTLESxDH/R
Ef2lFu7Pm7Pf64//87/X5f0fylwTzLqBFCzWy3/c6D217Zt6S6Ofe72//d1fmj1XfCLr1eV+xvvh
6ISp/dbsSfnJliiL9Z9lzKb4ZCFQpvuyaM+JpeEb+a3Vcz/xB4s9UTJ8cXCJ/pVWj1XAH4oG3FsY
AQUQBnj8FBDWzwS1KJgqZZuOsYPfnKNuypyBGGpSqrlypP3WTIFxJyadi6tK9TVj3mJc6+nkGFvT
atrtYMvh7AFfWqe9jjIrQVESVU8dWL+iRzsscSD7kVNnB4JN+q9R3LUHPWHovEpaYJk4C/Fxr3rX
ng8agJoUvGqs3weZMLdFW8+3hlk1KEBZuyTIkwD7dW4EFLobafmGPQNS9Z2zkEpfpoyavDymvyTD
7EZvu/gcwsjZTEYSs9gENJobZkShk8ebpk3cEwHfC/B+VutaJNouQmnxnrDnYr9dT/oWoIC1K6dO
f5BzHN+mlVNjATekn5sjJgerHeajJjBe6x5oXmOW0PxNJF8k+xrqLcO5jO09zJJd7tZWvgrBtg7U
UD3rNbtz74YsQeZTVyzBXav6qmMAuyGp/WzNzmvr6Ze5BP2ZWtl+njIMgGxy7eku0pAp21Z3lUV6
YTSu/NGSaMBUvKNcQFzrJmO7LbUlOTfU8upSuePQ+lEaOI8tGx5ui6wPdB/pIhas5ISEE+6Km1t+
UNiIB9C9ddson7yc+ZbS+1XRGeWbZmrTZVIqeCXMzGY/7FbXuRFduZ4R6j1mCFOOKpma/eho+mWM
IgIL9NZEXum2oCkMT6QHJx/lvm9qCcm06596WFQsrUI7RUE0Y+U0tSXzwdUOpVFr3xqzxdOS2jB6
eNLgsReD/DxkjnEqULWwZo24TcByTOx88/g9dga10Xkq915U0o6VNoxsvbSL1942HLLHXX2VCT35
qqryS+tO8gu+GrmTeZHe54wfrs0knWemhySjcq2cqTnlmXonpMFwyCZtxnNQMsrv9bHYqtrU9p4O
aSIILeNOomVGSEJDXxEJwRNtp81yCXU3bhGll2y0CGjLUmNcC5mL80TbgYwGktZzK43IWDceZ31Z
x9MDKpLxkA+NuBoi6yxEZ1X/hutyIHHNQXPFVpcxxty+Eq42nJHqNHv0yeZjo7taRCFXDtziiXrN
nABZcEpAfL3G+mnXN8DMyZ4LBogyPhZwkB9pqqGYHZBuBgNUBGgHI5W1xpfBjTBce8fJn60S9QG8
TT6KOgXquiHxCXFkAR8aWQHzeLPp6UwTI9hose7eclxQcKSxEd8kEUYfFxnXdWjn9tzDHbuOol9Q
7NKeHhigiqOVtk2L+FOU33QGpbd6OxFCZIjE2PaqbgB3S31BekvtlAfg9jFFDqXgixbJrTGbxSXo
5/TaqKHbtMFYbNpMZL5AC7yXcmAj32pDdedWQ3CLh7U6R7lLwVe1I+pEyGBb154atfKcLD4bSWBs
ZTk5ZxE14wkxFQkWptGeC70aLlGe5a92laG9wYfUA+uenipaDpRSlRk8CpUznjZmcEsD1CLI3+rB
LioGJCTqQTfA0M0AindrGvL0Jgiz4Q7x4ng3AfNmmlWSWFQhJPE5UlEut3ut1tVelgQspHagY2Vk
a9BKrb4Kx8uvsS3t55pN0TPevfL7YJLgtJrH0tgHs6s9yKkzbvvGsJ9FQL7PWuD3OrHdwI4FIPeE
7Z5HujAJliemA8PIUD3bpS58jXXfcxyxG0vNFNE26p95Y4oJKzzVzs5I0mirN9GwBuXerGtLJRgN
6K4eLJkHkK/dFnm3O0yHMi3Mc5jHZG3njr3D5wEYM1GzH4pEHBIkty+FtlAGGqO7rz0VXPm/wVKS
y5d4EPkuD1UEirmobwxCxm4Y5BVfJ9n2W0sY+SuDNe/Vc/P8SgZ9vDOAHfvjjKchpUAHN6xMB6W4
NA4qXbyrNe7pNaT0CCRQ1h3ZVdfAmFx1sGaBKKUeS1Il4m8QiNy1UzTHKlKc8dxqeVC+VuZcj5T2
8j6skQTk43RgjRk+1knWfwd2MfiOMsddq4aCYWNn1GLjTDMkdR0Rf0TLy0hDo9cM160yq3MltXY9
W0hBVIcWOXOBygU6Ja6NoXKV47ewzBcF+87uYu0iyn6fL+EjMg4vI+K9PUf1RiwbrDzJ6z29lNq0
SsC3HnEYbRhhxahzQDtkx9RsG33FZ5KTZdoVrH8i8lOJM8kOUZcsP4sIi41CIbeKlHoFE8XJ3IF9
WLuDOVb0l/bwoJp58jvLmDdGPdjbwkPFaWpMaTfUnN5+FBX9LLPjcDWN3mpI7uWM3j2DpXTVG+4z
9AjpPvAQ+tbulB/Hil8PPbf9mOvIGuexsi5Rg655KoPKF00xncRg7GApznt2SfOuGIzsRYzBe8ql
leXBWzTKZj/k2YbfirZvkSW1Vriu7RIdlrDK9Whp5j2ucWagSak/WExQ3ZXSkvE2AnOFz8cFC4Ko
XLd8pxjFNkf3xqRM136MgXKOwijVM+9HfZZu1e3ZtC5qnq58z9u837tGJY+tUc1vKsKYjtvqGqQC
oWM2zZuwz4MHPoCc36lB9AXLFPfNNRBoW00d3YiQvo//0ETBM4pdBcH1iqBKPzdxnL8MvY4wKgor
PPxa30MxB1qyNxyYZhxOOrwpzTSR82mQdEhvo8MyEXLGoTvEG0a6jrVjHxkdCotdI2Jj1o7RaPX7
AveZTlZP4WQ7xE/lPfVFXFyyEH+jr+UZsxeOgXV00BsxQ22r62S49cZRHQfyru4WgdH3nBOH0BiW
oWtgp4DXTSd+MvM82SSUu2sXsjKTv54pr1EQJIT22tznOO63ZsJgHKmXvjHRXaxr14j3eh4DApBD
dd8Mw+2ipi/oeviCzUHB6PM77D4rl/wJINSNWDdgENaqGcb3IR7HH0NlvDdooV5RJb45Va+TL2GF
5a1H6jnOu67dzzKO10VpDmdpkmxVV3p/IrpQoVudEE03Ef6wjOup0TvzaNbuozEPjGwMVIYGo39y
LMhVjBqUNFnVhL6d2cU2arr4lBTFcNuKQNsFaI8e2hRELRtBZ20ZjDycZAreXbM2t7yjREhEs8nH
0OWPsV2yRDRdINl5NO6auW+3WsIMhxbaeQCnqs5mwdW5Tow58W2LUKCV0XvhEVJTv22AiB5gktVf
RdKPGxej1jWPVbfRh1ICw+biLJvEvukwcKy1LEChXqMYIEKAvnsgbG4VxfFob+aMltnG9kLsQDxI
+Gd6tE1aCTqoSwftkHuldZKu6jdCjdY+H9ECBK0XbVSl25dOM4K9PVnpLp0GgUoXVGZlNCa6rn44
xFlQXuWQIYPrnNlQeBK0+MWOVbuvh7S61/Fz+KMRh7dWXEgQgbP1zEXHQsJRLt1B7BgbCxnyEUWp
u5dBy3iJ5e8Pt0jdi9PY2VOPB33ntIW+qVmj7efUsg9ePRGjAfICM1mFQJG8W66aqShWVAMm07xi
PDd6e2frzZY6lRm9ZIfrZuqzhokYtlt000/aF2Zv0coMS1YJsOIRKikElSVNCx6nhTyjj8fKJj1E
wZJVq9FCXtE1Zbt2uhznEw8GC6YcANu9ntrOo27Ntj+FbcBPMOJ/Dgip+V1nef3FuPP7rHdEpP+i
T/vJHQ8gcU4GHcMFO+psBYwn9TXWxkfwWDEMQvALSTFoTyh7mJoL4b1Mbl/dEmwQntzJqL8E8ZBs
rJ4Cf6XZRriLuql6HE1vxqqEsBq7U4y60tOumPSMiJcWujgFLZoVuP2UEiiD4hcIl5pGUVPgXzAI
A6iw62FrS9F6x9q30ClDHwhjeasliOVy5Tx3dSMOWlvZ+Ew9gSS9YzwCWHqd1PjlGWXz0kLDurEy
wAwZSyLbJz9kZkIv5SuVerizDSKuUC+/lb197druwaJCAWoKEYtx+OSTSTnd9V2BqDydyRlYNE3A
VQg6FsjE6UqjyNlmWB04tkNlvxttHYcrjUU+l3tOUbjpNVF+no08M/wqdpEzqsjpzwE2nkNUU+2y
uDecOzAV/W2DIGBRnYmAYWdqfLc7PX6vAPj6laXJDdIM476cUwZQGiKNOXBMfUNEq3NivK7tAULi
aE3mskbCxjaNIDJ9/N4340sTzTUpdna8tVSebe2xzraQl/SVU9nmykTpfwkGGxFqnSvAdp1NLHZX
9s3GEnN8O6cFN3RUGMeA/vUao0VBuj328T0vuncgCmM4GKXF7FSnwhbx1PyoopZSMB+G8THKBwg6
HfUC1pG6IHTdRTt6NpY6u/8oubOP8ttYKnFuYYpy7Lj4L9ra2Or08jgPhyi6NZdKnuEkZ5O71Pfi
o9LXEbdwPlD/D5rbnr2lJ0iX7iBb+oQu6w3gGiFWpybB+leVXoNKnAZDffQaDpUZh9HSgpgf3Ui3
NCb50qLkH90KSp5xN6iIy9ohRMyNFmqE2dUambWg/LyPlsf9aH+EVEW1b2s5MvxzxHFUNsI/q0r4
wFMeXFx/OENtId+qQjdWZHwS/Vb07dUaFWINl+0zhxj91lzPDxXzUz/TqnvNiGPcHPzCTK0q71kF
W5gCqJS1qRk1ItTi+ShR5Z2gwrMDVwFcuy7pMM65lGGMZ8kdi0JdfDZq2153rOWv4Fvlc81nAFxs
aRkxV43r9KOPTMFEX6K0ZVJAk4ltAVTMR+fpfHSh3tKQVsJMd/XSpHZLu9oJJzzXdLDV0sqyuOdj
X9pbvsml0aXlVUvzi3x4yW2gIWY/Lne2FrpfCqv+MjZJSiYYDXS3tNIAQYrXYmmv3Y9OG93ktI+W
9ttbGvHpoyfPlvY8Xxr1fmnZkbDKz+PSxrcfHT1D32BdLG0+en3tkHBI5wF7jZYlK0EZH5OBdBkS
oPGSe3sZHBht5/n//ET90Lj8ctAe3v/j3xl8WQaEAIgFjN8gYv1ME248z6RJqLXd1LrWsUgJnzfI
krUnzdsYi2Tb8NidYs7SxEp4zIftuLN3vSHFl4apOlakUobvU98NRzxyCERd0VxdpnkvFAbls+lW
5y4ugFToKNIpnlDx4QZBWadVKZ9pYi6rY3w0ekvTiaQ7YW8C5kgeGzcsyk078V2ZnkFmPQyR4g2v
Voa7o3UijLXLQZZ+nGnJx/k2f5x11se5Fy1HoLcchv/8F/axPvzDL+xjUkgxTQ4rvKsP7vDvREMe
poTJYqG/y1escl/Ml/pNe6nvh5vmDgVCcatl/wIv/YEJ/ekrAp9hk2mB3zchWnIn/u4rDgxYcpxW
wa533OBrxqajZXGRTDfpGM8G0CJMyWqqW5YxYRp9FTZBPZUVpD9mYY8Eu0xxsAWiisID71w7bubA
5A43UMnrO2yE2md0Bc6jAwcqRUaC2ZU4Tkkcd5sSZj/WYO1ZoqdHhxS0A5UM5xPjlBUbofsOrOiu
p/xk2JAnWyRw9XZqhvpEqOn86mAdPDRDkB362nZ3JDVqT3mMDKFri/SOrU94MjJizU49BfFD5Dnz
mzXEpApkw4hNZ4zVM06c5fwi6vDzx8f4PzbS/9+ryqJi+sfD+stbEVed+hNRFn/tV1GW9UmCIAJp
aRFuYWEL+21OT3Q8YY8Iex0CTyAUMXP/L1GW/YnLCxwmAn0oaGjq/japNz+R0QFQn0rXXqiGzl+Z
1BMB8ccKEOaTzZeBterZNlsE96e3wa4bPE0YdveJivP9hHd3Hcbe0WpndJXUKOEa89xjyr21s0CK
rcNoHp/ypoUKIOLPKvTqi0ZtdR8G+XiSxtDfN71FlldeQz4WqG4GCxLGWOpb6BphzXAgeKbRyy+g
UA+NQv5r4fc5ZWlzrxFAiLBzjL7aGgoVu09Q5ffZNXGBrK6yBDjRqnHoupGasONGPAaxx3b6R29C
EDQGbbCah6m6sGEcI38Zt69BtJeMHoJkF1epZLLvWfbea7zxARVW9BJX1Xe4AoX0w9ZkvDnGyWts
JF+x0Ot77Gc3CYcu0tUsPQ2Inv2G7YRfWNMPXStIpekYKI02qt4GTft9gjXvwmRtP3V4/oZ8oSzE
Npt9xRHQ1zGBllH80rP1ZUtRIf3RiiVwjvcbz4h5oLJMnhPpsSnQu3CrwISwpTa8dIWijMZnSN4H
u7GQzwfULdEEukHoA9KtRn/NxQi7gTiqnlxW5kCsZMKHfhiJOaK77DuZ3XFpartssAO6ESvQ77Bx
ucyWwyHK0B4IUn2EWv5NY2DjzOIzBWzwoSeJF2lJwFAMI5qVw3/A1O+TNOgYxCzCzDgo9rCnasza
ZBvMRkoMI3FYwWkmdrzfRq7mnfqy6T63hgqI5q2dJtp5E9TGurVrYxV5c+34vT2x52Wf1NO7Njhm
Aehb+jenNsfnAntGj3K4keR0yxrRfk++HFWWNnlXNjTQVXIktAytPGmz3BxmDygNoWwvbeOoy4wz
CRtomYTLjCpAzwWnXvjtwA2s2gypU4XPlWDo/ta2zEbcTSlO/bWXNMS76ZbMqMAtQe3rKWQu94mS
Af70CZfvkSfMXIZuYTj7CAoMwtcGbE9VnJ+k6sKQ67ZSFfdM3fCZ4xY+tk2K8GQQyh7WUADuAL0d
cKMRSwi7GCAKt4Te5n6PfwflhERBY96AU3vJGnkdkyWOLdaZ7sdqH7VI2mylXzKSKhfZ+32/iOQq
6wG7wGYS1nQTL6KznDS5oavPSUjaZFoenIjgAvSIxcI2Z87LHLHkIzMGeKL5lB9CPTWv8WRq33mc
/ZJhodfrV6MFUlaM7p2uAwsoh3FFJK6+5SapfH7UH+Z8l7e937j8HaIbXnLNSO4aXT9AMon9Qak0
A2VnIbhMHKRm2rsVZynxTVqARpECx5n8BogpOhYMIr3thvsPVV9nRo+52Ue7NJUJa2sTTynzqBX1
+rTyJnALIi+b9QRQBKBEqb1ZFqyBWu4wg0ZgEEqKRZIBEeDrxZJZ4Eu2SjUaULMEXlGUFz1OnFdv
Ch+I6Yv92IUVxAVb8cokW9Zkri9M2a5RxMtvszUjXhATA7KxORtGQjcUuIeIpN1Db8sHjr4L285w
ZdaTgQmUBAF8LlOSZVsLPsCOufQur9xuZzn6e4abD8Lh9D1Mg1szGuBRzOBTrcZ91OZefB9aN/3a
zeGP391Of9bwf+Sy/a34WdRczlKXsh02YQFL+ZOVhBVCr8H+9fYaw8FVlAM99OYMN3E4VvZtVDq8
Jdrc4Y6zccBd9HKMX6Awoggc+97pl4Yo4pyEtsx8owwAbBtVt5gvUjXxXMYuogOREvW5uIWeS1WI
bwCAeJ+FGiA9IoGUNZPXWTkMaTuyZ8ZK9cdURB2c7xCV/0GxyPwMlig4oenoAbl+nCbax8lSf5wy
zXLgYDmKNBhGEzMc3kus0Yos1lWnQwIA7pLct4mGYBRPpzwoCvKDWiRSRlARO9iG2wrPzjnDeznA
nNh2zLUQ+vZnAD8DC43itCwnTmaQMJY0cholw4vIQA+9tVFgBIfecD8voi7g983ZKQKb3sgofK9v
WY+UMSbYMdihjzOO2Mba78ItCyzCyMhqE+LeJm1qCONNCr4P21vpdWtnjieyv2beFkdPFE83DEXU
SJVI0gd6azGcJgwY6ywZULqR8rwZPUhyeq3lTCzC4jlalHLOoplrEM/FpUpOUyisKzZ0fK5uEBZf
OBSwYNdy3tpkXwPYnVXMB1rTkVck3oW4waCpJ3cqK42jo8fAv8I8EReUu+kNAiaEIO0vohAiMuNz
jjKB1l2Tt7AOtJ3sI+ubG/TaDgxhewWDEazoZcJvQR3ztmIm714nm9Ord3vjNmDIcReziGFfJL5a
WSD2+tjkqKntmgCmXF0zlIE4VY1dlhOGgK7nyG2n2IloPdoxAjCcUQFyx9a8bgw/Rj60qtvpXLX2
SxTO44bf3GcW50S0pDEOHuAUG1gf/cqoxGPuteU67cY9ZCb24RnhL6P5TsM8bB06SNIWC0bZFnP1
qD2a8MTxsZwzQ5yaPPgchKbv1qxX++FrLGD0lN6N3vdokLvO3o5z985sVtyAkPxeWqFHlmhl+YIJ
x9YdNXdP3swb6InmGLmEgDdOGr1PWF6OdCPNXV4a06Fp7JlpyLLAyVMagr75RrFos0Q133sLTTbo
Noftaej6uYjjkwU6YoYMsMsnXdwUtXdhNzatmWgZm6LQJt+UotyabcXKtWNv3NtqRivb4XDrM+iR
nFYWY7zWRagMCrSsmvYyV0LB1J2mHWtOtMSj8UAQ/HjJhIjhIhooG1nkUXwIglVHKe5Su2iAXYZM
5/uY4ZyLVgBFYEa+J4YUx7ONYWVomfWdJHf8Np2ofhD2SFoOQeRbq5tLP28gKJi5wZ/GdugnZprs
6mFcLL6dMeG0kmz0nXEyPrOQbKtVr3L9Jbbj9pnsZkQcpJomP/DdwiHIAzK9ki5kLGIbY1PtNNVF
4aasVX4KljtaLbd1+nFxVx+XODmRXOimzMJ4735c9P3HpT9/FAALaQaO9kdhYH0UCc5SLyDlbP+/
Nup70YJrfpyq7//x72/vOcdG3GDC/Nb+fdu0kK7/cbflv+Vvxb8hjPo3P+7+/C//0nNJOith4GcC
g0yr9JGQ9IsRRuqfUDhBusVvLLloF4/Kb0YY/RN/Qg4BUxtD0CjxvfymjtI/mWBWIEPqCEhsTDJ/
pefyaN5+p6jme3Jd0zK4g7mKhUvX9ccBRKU0NgaFsNhhxz866dxIZe8qx3tMgop5cgLqb8LL0mvB
I9SKOzS7X1Ch7jrvNVqm9EILT0E0P6edsyMOaSs08u3P5P8QYW+DpGWZGfSXaNCfawN/+3LZzfYu
mdVer9ZlFGysrDqx40X0tHUG/i5Rdlmi9hZyqtQx7xxl39iOuRtq684KBGEaqyUbcQyj7VR5bD3q
B1ZHD/NIGqcD6iXiKIXTlbVf5+xhCmHO5dCJRmcrreEiKxdbf34WlXVTWONzZRK40BZXx9Y3FadL
llMZqxbAbPCIJsn13cB6bJxwr4bkNg8sdtURuqHGVvs5wBdBk3XXhnKPgAuOgt2/tsp7BG3zklj8
yrBr7MzAOeDB3NCvfcOd6td4aSzi6X/35P1JJfWzJ/eXD3Hx5eJap33+uW+egKE3ka5ZZHXWfljQ
gxCIEg71rT1Nt1IxZomidJ3OcqORO9zzyfzzb+DvVjdLjoMuHfr3xfDFLOCPTxECdhcQSYxMpljh
QozPbqe2o440uGcjvkkj45ahlbPrgvma1PNzX8Tm2RY2+zkHc49cfZ/MVm1nh7ukT814K0WQb4Jy
Po+Z2sNOQlvq0t7py856bmDb2Vnus0JnD5EqksZIhtwM5LORDu+syjKw2cybp5q5NqV+gGq1Mb5N
4DRWsC7vWGns5gbjAu/eZ7M2ToEcL27SnQpIO8eyrsLTx+/nL02k/nsK0n/4X/2vHUpZEBv+8TG5
XrSjcYho4E/OSP7mr2ek88l1dUx6kojJRfJJJ/DrGel8ksIFn+Ng5iSQ+G9jKZMj0iMVGNsLKwNk
pJyevx6R/BETLKw7DvEPWACI+vgLXkGxtCF/a1MWAyO2E2oaj+9Ct8gD/uPD3UWORNKRTDuWAPVT
TnzISy2BwbpGAPIWCf34BeDh10Uu8R3RdfE6LKhRh7F1hz5iKDeyL9VGYmJ4UaIvj31ehci44uzd
Rin4Pzz8/IPq+f+gnvmfjkgBMLy1bdz83fPI5beIof9rUOpanyxdRyrM7cinrztcm788kK7+yYAR
wqyUTmNROvMnv13a1iehc9PzsBBnBkyEf+7XJ1JIBq88Ra4DbtSh1TX/yhPJc/7TI+lAvuFB9AyX
FQ1f76fOmRlin/K/kWutjIztKGg8hgbq53rygP6uzAop5YY4iQI7fRiwHpCy6mbfGpmdLRgDgoQ8
xzgXg0hXZQfPc9UFkGVt1AsPaTxoj7YIokM4lh8rs+ikcvn/2DuT3rixLEr/lVz1qmmQj+QjiQYa
6Jil0BCaJW+IsCXxcZ7HX98fZTvLysrMqkrVIoFuLS2ZQTLIN9x7znd06oC2k26Bd3lrx2R1UGe1
eu5Md8JNx3SpCIEh/NAfgCQS9YI73icyah8YmcWOWEh3CZ54vJJDnsLknW6C1hzhEe3A77cu0hAq
FG1YVXvletlyYK0iNmzLsRX4QwDh1UlGOF8ZSHZ2lCNbhzaZ9BvfDpNHcxiCm1wAkJA6FVP0WME5
LEDIaKPWTV/YFNmfB2U54NLa6tiDVCVNMz6xIwEuqiLBdJlHBho7eMzZYajr5LKY4midadydTAz7
QG+o2qVoWUOzElAjkoBKMYh5kNXGl5kJiNgnb0ENN24Yn5VKxl96CZMRSnXiPQe5FtwJGZnsAxyg
A/D2NEGVQyCfbGwdppQZWwvdZN9PWKs4jfgCUK9AIWyAbexBVN+PIb7HlSMGcKZTjUA9iTIddfJQ
ZoBnZl2Iifz9vKUvcwwzK33Rha97W3TjhQa3rKOzq3tjfQauCdOeXWvgM1IkLaTiNMGANBDXf6CZ
YJyF7INzkpY9dBdZ8aRqv26WKSkrtOqHMC8pBQq5hBaqHpGNWpSYdKF2Zs3nGKOZdVD4exeVaNCU
oCftKqMgSJo4dH+CZHZUcdvnosp6tTFFPuxQAnpbp3XwqolAjmsKOAinHNMFUAupo75rLFMcwERY
Z75s61uVqfwY6KaKFshmSm/P+suE0ewOxdcytcenGn20sbKxXkO+iKris0FHCsWfMYfZR1FW3ZC0
7h0syyD8YCp67yyK8/qQqhIcDXpmQyy9wa2uXCR097XF7naBL0h7IbPEtlfITqpHy4nTLxLm/hZ2
Ob/Phdff1llmIoFvUhTAVROpcYd3WpFdrals30TFQhKm22+1ZgDEpvr+3pMoxewmn05M7Dq8t3G5
w4ilwfYo0OAg7vD0VRkglFgiooy/BLxc83/FOECTPUnKnR7WUYXgRbrU/DBuJZpNIrSwkkF/CCgH
P8Inwduul/k0m+v4Al3YHvnWHF17gaKLcOlapx+wcEpqnFOtgK768sVPxPTUB2gx/RyLbW9+zbtZ
xaLTmv9iOwNMYzrPw9NAS2RVtmpAh1/3t4h2kCC7pr+LaTGdZmnSZwt71qDgrE/W5TjUD1PtWAqR
IHgugZqb9kqTnzr6BG8ZGzt4VmiXG1C4gDEG198RVbHlvCf2yiRjdsCVFoWpqm1bEvIzCce/9wRl
qKzBMUpMhieXmsFCD4B1VZTLPkjLlZoysmGtKdSNJck3ab4WfmylCEbL8AWRgrqbHKX2emzEwRqX
mKATQv35UeNFIQtWmCTrxGXZPqVmpBCAaXOvPA4nXu0ptcsDgPx0RNcSUbpJJzTRhlY0i4bFRLho
W9lelGU8gs/I8vykSev6sdaBdGHGfI7TLqLoUTFOd0lC8cqLFcjDFunSYvLgoTQiIvSF8NmFp4bu
wfJnQZ2v1JOBdzXBSJ1O61ZokAy9AQcWiPR0liKWk/MV4GeyC9hz6GVoASfPWHUwleByCwDLPVta
gGOMMgQe1Kzp+/OwpTyx9OxgtFe1ATYXXSUulCWVGDDBXKd0dvSRFArJKDDMVYwh5GW0ZrlYjxoM
jhuzjNWluyqtylNfhhmwPNZEtDPIHUGEk8TNFlldrXY56bwbK5SNvksnBP5AkswgBGIjbZp0rZm0
XL1OZ4tHs3wdyFjGUJkLBLTA4ZDdDAxOXpLdZBqvG0Ej4UBLuSyfQqfWLUxxrnvVFJW4Hx1ktwtZ
xuJMV7m4A9tXPhLj5Z66URKY7AoaCMxuEZiXBYk6lxIL4l05Yttk2JA8Pk7dJSabTCNOV3XYnSPR
liTzDFZw7xmtnq6G3DFe9VI33D1nqMyV7GzYzMod3acGeDLJ8Ymoz3lv7XTnW8KeU+KR0jE2VWdd
6kUXvZ/jMXJRRQy+gBWMChrVU6KFmlomU2JstDIPISX4zsMYYT1K8iG9jCNPXyaiLJD+5OGBzWC2
VJNhsK+SOfVeVd639E3uCs9Edjy2T4XumLc4k6xDTBDnqkWXsSvtVL+Fz6i9iIiEt4UIRLsCdGme
RHrkaDMP00fHHDgHJw9v81zXDn4++kj4M0rmnYrigxbhug0scmoIwsZaAw6Q6LM18kQidxtum1qO
ToQtyE9wlPMkJGZxJB/Cx6XeBhiHsTMt6ynvAZd7zgnkHziZWBC+JsrAzTSVUQWuOVeXuUzqsxQd
3rroZfg5bKCD0ivaDq03bP0QW6oj0/Dot6NFi6hH3kNOzlYrQXrbnco2pda7FAddoX3LKh5bZdLL
hV9dnTt2mn5OVAe0wTXE4K71JMaeDFdsZlsXDC41vfSTVoXNbTn1+Q4tv6KvqiNNx1HDOxfA6Yhp
Ii3RhJtbiwFoSRJnd2sztVxZGl2iJXLg2F+o2JXrnLLxcULrd+7WFPTXjAjqpMt9dRHonbjRrbY4
GK2H96AJbOdMDzqoy7YidjyxYmML9UpsI3dwL8C5Bc0+q32cOR6aN2S6pPIAKfafWjCN1w3bo9eq
TEyHWZmlBLUWdHZro4wxWhpjpRW00tssOYQD4saFDdWA+TvF6VnVTQgfHNDkg5hQscHmKQ5xAVyL
dFWnJOaiNsyj7Fg0r5ooUPfSqlVF68LNNRrQldpbQUQLkh4iXQeFA2kJxHbsTzDb1fmuGSP5gFpX
3GVp2KEkLvGxxKlx2WMVgv9t13TOW43hgVyrYCvTpHkCPJlfVQA1vJUIWiJDS73cSxXzruLSic6c
0RzPSE3ryXvAsH7FApY+dul16lEZaHoXSd81BJvGyrzVo6F8MEVUHDx0X2voFdOF20piJZi2rIFO
PWEABIOFEOPH1HnOLavAKqbEeKF1fnbqIZ3bVpMHMqPqG23t1I78Ok1uY6xcsjKOjWqgchANrK2t
ETtgJABibfAat6jbFcoGvO5XXdwY7berLC0nW8Kr6CA9OrdmBH+6n3r7gZcTsl8ZZsXB7bFcqDK9
s+PkOlH0BockqM+8VFm8sz6dCZRtOP9TGzUolrlmlRGF6Sx8X3oPlM6ZQfyiDyihWIQILeb00/sI
B9WZRzLZtZfn8roDOXbO5iU5QwGVPGquT3CsJGDlazxOajvFmk2jjdDQC5gqXQeLuxk+u+Goj6f5
YHbjDjd4F58i0DSShQyCcQd90v7qJwHJCJmOlDiDbEtSYQE8fSEq16M1EEw77A/ui2bU8iUIfMTf
XRTj324nimgriTkhRHhhhmIrci+8g9csNiSNRI+Tpk3XUDcJKgDD6DG3qe7eADB2jZ85uYCAOh2m
0GxezLfJt/KxB3HjaWz2gX89qrH+MuRufe7A0L2tgHAbZRBIOpCdPCqAxyC+LVfB3PFJmQN7OBJc
MwnzEgNAv9L7IFCoz0ea/3Vie+1Cz6w43rVtNHOuyppBo8yRQNApsB/1wCiRh5YN7SI9xG1W6nrx
1dLKZgd+MTyn75hfhWlfPlTepJ5r8qN2CdqT+87Q8YoP4xCceF2LY8foYegtUwiZJ5pnTdoJIeH6
TjghaLXKRKNuj6r5rNjnJouhatqzUJlpsY2l29DZMOrojC0BINCqF7ti0Et8CD6oOsNWrEPHruOa
2qwoVmaRTrSlfXsiNA/v3wLZSX2KKcKn1wjMJ1kJ38gP4NinXQtLg9WN2UZb5OjRzrUz+uCoGcR1
wJO56w2ZfXHzKf0877IbPoGYGUw3pnajt1V7SBOjeiA4eTyJDTNlqcqEv7RNf1oWRm3zm05niaGJ
fF/rY3GWewGyZ8zwub/Mkzw6pnlSqR2CgOBS5CmXEMcFBr4YsO1V66WvFaAzk9clRUGbRLCGCTJa
YJTKl9Vk2/uA3hgg5FHTb4mb864HEU1ry52EtYRqLON9VHYsSLDE1ad1aLtiJSfLGiH/yGJXN2AM
OzsLNbamKpon5TC1d1VT89WwjNdTj6wCu6cUzox0DLH5yGUWopxfDKgP60VGjIc101J8GoE2UWpT
36DIjWtJZ7CKYLIv9FiuScVU2DjwEGP5mp5T15CbaRjSZl5GpsXaaVXlLkFZhCdezLpsCOL8PKjA
Wi80souvStp9dwiK2VM0rp0QEs0svtRdo7q0Wvz66A/9ndC7bIessj7J2lGV5LqkA9IolKVb6Jb5
iUYQEuVtNyxnV2pyjnapFCdmVUEbctph7oA5PZy4/7xu+v+yOR993B+XVk/VsfpDaz7/81tp1XU+
eQjpWEL9trTqmp+Qu1q0CH9TWQW1JlwEGTCJWdwAZqGa/6P5ZHzykMZSdHXAUthS/kfNJ4dC7PvS
KppBssqo/XI42mMzdu5n+aue6kiBtHHawpTEpQ5/Ms+QIhu42OvWbj1s+r58YE7Sk1VdyRDxax0D
Yw3GKjBWLOHoyfhF2d30eu+RoGI39qZJtPTcHdp5xFTNdc7qlFctB8fKjon1zAgvUYES33NC6QqM
Ub/rPQon5yNG5OFM5nq1L4I8Cy9ttkUeHjVAtNjbIocymOPUghzAPLkGBmWPbAJH+MQgWk1EEKWe
eVvCz1ArAu5n+8s6lymMHBJ3p3uZ3e3izo+uu9YudyUuqBjIevZIKOPgLVswkc9cHAJdl640k6jZ
3jq1RJtFTGPizxo+f9vbhRMttV6yee6hwm3oN3bU5czSyTfh1BOUWQ9+eBE2yPGQ+CGSWwVOMemn
GDOIbvAJfyWa3I19ZxeBV9J31oT9a+1XVoikGijosCQZRPtMMcsDfpKM4VnuM9CWmAnPQOZZJOTk
uRPuB8G+fUWiJbihOUNWvqUvshfsfPcx6PP2KRFxb0EzaPIXASf9lfobIDOcMsWZj8DkfOhhBy1I
LajLRQttFM94McQ7QxM9qUxadxWZVfrVTAmcx/yqgmQNcEt7rIGraysfrUu+tdCyHcC3YbAUVpCw
HKyx7y7xMCe3OSFd2AuQsJHEPMkiZ7J2jVdZ6N5MDjCSJ1BDIGBbDbAVeTsTskzIJTgGCzgAoFBi
4CStj2LQQJm5MQpKW6Kq5y2/VhxUh2HVbPLyWkWuflGCPtUW0RSl/SqxbXcd22lx1OtmQI0RmS2s
sFEsUWXHp1rViLW04oJte8E2N8TEtJjGbNw2VplvctsYNyqIB4QF/niuB5kHIiau74ciD+GgR8Ai
zAk6jau77iOugunGyIfhAAeohtjAsjQ2vP4yMhB5J7GNmq4o4/PWQKnRcizoF6TTkJWE4qduXKbi
TJ8LMmLdT5VAxhhO5xr+17lm558SMJfvRKqI5TNB20JgSu8rg4pC7pp30mRzR+UcIJBXLMpuj3GA
Jx9AxchGl32Y16EkDRVX2re6i6AtrPelX+krHyfvXRFk8K7adjg1m2zej0/dstRn1qgcK29pkF/D
mlz4wcEAdXZlis5djRlmV551cwtd1ClWCq/Gq9tbzVXrF2IVtbZxAyN3up9FKbvEcUc8pVHpdHiF
iuw+YX36gMimuI/zpn1l3ozuHcM+kb3b7qyYYxPFHvbLOm7kYRRp+VSKtL7KUss4AisipqUUjncj
QoynmUL9uIxSHE0LjzGFWJTIBKVqjjjBgY0c+ykiIrHQautOiBKLYJfEK9aaKc3ryLmkUSQ/kxJW
r1Vq++gMZd1dm65D1asIyfhgZfPs1L43LvJSF9DcNXu8jJyMnaqnR8WrCEvjfn4Qbs3JmV6V0/fF
yu315A6SsHM1psO8dSf7YFBNSmS3bfRcJ9P4KhGu8WSCnta2LaEu9spLEv/CNJ32dGSMuPahNLyk
KgZqNjNvH2KYvRCWGZp3piR7Bdqtb77GVc5KHTTjnC8TC3nbehm10xbT13JK7AArSJAdJZqmF4F3
rVjkbpEc9JDkaWgApDiikRrOsOk1VBGmcNoMReOtgLliyYMjRX0QFxZLDVZC+B822H5YPlq+VZ1i
3i6LVZXgcFplRjvtEuqZpNCPqp3NKUk/M5sockub9DK3EfV1IJJyG+aDyhdd2NY3ERbxtZQEOOHd
kntTJv51kFjWExbZ+JRwWP+z1tc3egFNLAraHvG5PkZXsLLidJf3cbigni6obJhBe4JJhSQKQxvF
iUEB/EzGbnOelMirF7iL1WVsD94F1FMMV9GktdyIhPzbXtZBvxPomW9YlCe3qgvszyLS+nXXBc4e
sop+hXu2Pw3xjaD2AkMRxm3K/o7Uq3UcD95lmo3jrsthtlGYJZW9b7sM2qfehxrFiUYiPQzL0F7S
iCgBSo3iTqo6vwrKCG9G08lTigXpcYCUfqRM0aIJ1Tnn3jSrZ6Mhx47dhrjtyCBfT1ZGBF2pXECP
VfE18IP+SMYGfsPAtEE2xlpcUrbr+monxxDaW9jMykoje/XrvIoxpjsu9FHo3B2mrXEl7No+gWiR
n0V9bIKVnO/oaIZq4fR2vmlQep0oTD5XmkP45bIiGKXYhEPMfOuCOr/wqJ8DkjPs1FiovuvBtyRo
olUq/GvVjCiAOzttL424xTWXuxahNGyhwWmEBGRnbTheVZAvmdmrurrKcif1ljW2POofEbLgGE/0
GVvIksmrk/FFXQ8BwLo0P1V2nYDONiPx7FAqIVMUB5i+9E0z3EP0672NEJ1+J50kvGfORn1ehQWq
M8fLOyxlmr1PEhd5n7Q98PZIHTDsUb5ykYNnqDpbbZ+E/qSfhF2d3ZoZqTCoCOtoP5Wabu1VNpoP
eaHLYUWZ5SQkL7tY2HVGQ3m25TS5I64H3RWnlkdis1/rpMG4Acy1fOoPU1ZzQzwG3Tk+s3mwwa2/
KrebHvS+ktuEZs1JPbnsDiaw3J5fWmdOZYoYOE0tZ7k8SZJNDx6Tkr5l+3AuCszfSoUXiV/GDzlt
eAh93LOtj8GS4kvtJWfe2LpP3kRbawjlI5ztYjvKeCAMxOJxDkiv9qrCutVQ150oKj3I2pHSwF+h
qHIXyabN1gXMry1AguQpC/T+XjB0FotIVMXeo2y4Vs2kY2WYxICtI1GnMszJORk1gmGbUm59n0xn
dNsldP8oxLXYd59HgXZ1EcaWXFIdi5/ccZbqsjF1d5Wvuxcm9UGxKg29e/Ht2lu3A2HTLIzWehGa
cFvr2Ybj7lD2x4sWu9/eaNxbiMHVtvc6mktd8VARDbjtrKoJFk7nMmJFna1vB61GAp4nQXIT8pg8
lIMOQxHEy452X5euDdMIr8XkdcMpTQAvWuYtnpc1tRzr0aub8UvhuFDLR0b1Bvm5x6gepX7d0rkp
fIUXhoWOHiSYu/map8Xgt3bNsF0kT2Epe26iR+FmFEyfW3+u3U6KeMLoraDrzbXdfNS0g6TcC3PP
OQRzBTh8Kwaj5zdPWos8bOOtWFzMdeNiriA3cy05mqvKEby+TUDi1DIBTn7bWyc+txzIsL8o0FKe
16mOB1LvrTX8cqgInk6XL1PpSUp42RIHQ3Co3aZYadK4cNLQuJAslRdlpfdX/lwEj+dyOOwhKuON
wRy76N8q5k7ZO6tuLqO3c0GdrFhgtGUK8kCr57J7ShvyvJpYLC4qtjP39luJfnor14sx06ClskCk
YF5Jd2XOtf2SsY4ZbLSvCwdQxWqWTJsbo8ySbuFrrkd86NwpQNTqXfQ0qA7BWyOB1gkJjh0xYKew
BsrHWhryzk3keCbB8+NtyTp5X8vcvmKwMyxMIrp64gXWN+bYE/gBA4N2xtzYcOYWRxHbNJ44T7HC
WumeCi781ZMdth/VBw5mdtabJ1mf0jpJ3tooQLJqfVfM3RXzrdGSJoWZMWqOhrZqa0A7i4CuAdt3
aA00loMAtVxbk0gFKsgW1EMs7ahpVn2TBf5kLhvW7KuCAsPl5CTtU+5IAnpKgp3OW9eBj+OSkllH
Gkuc0eoI/K1l8lRjWmxoR0dRSgan0klPKsvEXtnKojfjYRaiP9YNSO/1TAFZGAqwJrwRHv2RTngP
vtOy0ekcH5FdTCUPiy3u+hwmqaXNJMdRp6MzGQ91jbl920jd3XsjBu9lJILwLtfcdES0XI3tBkCK
9VpXADS2BYbycePrBBZgNnaDZgUipFaXjWmx5UiSnP6gq4yJSS/xkAW74zXvTE9JPK3xLKmJtQaj
/75RpGG2abYfEFQ+MCzZ1zJnOggj39tn3djcDFCBsewn00M/BQ5pkCocYJnmEZZOpSfAlUo5yf9f
Ivm3NLooV+kw0JQR1iyCtZHY/lmxZHV8ro5vct0ZXl/9sjt2L0n4y/+Z9bt/pOT93Y/4Llgzods7
AjIUgUE8NXN0+k+iXgNtrgNM9ruU7Yc+CMUasEOGByQRYhb8/qOuogNQJAMJpTC9cw7p/if6IMNE
FvdOsvZN1aszZVDTt4FMvK+rlD7x2AG1Sthnd+2Yn3u3xibY4FnHZAFF1J3lqhu9vjbvMiZdgryj
u7oMN2H64A/NKvSJqewsOv7pZ89H0aHgf4Ko0zaAVLZd4S78Oj1R7pdxoH5ZBFTsw4e2/8xydq2N
wHv06cZED9KLET9RtTG108J9rRCt7KD0deIieMapRAf7jKjpRdaf51W79OVrmslljA0H2QReBuQ5
8J08XARdmq1GJDGJGrepxHhJmhk0pGhja1tdRtUmMpqA6TK5GNTnjHw1mfVfKLjc1Y1+lZYTUIDA
cXmjx2JdUz+xsq9NcindDosOrRjYG+ypA/qrLBRwu/SOONAEvwkStBlmtZmj4ecVC9a4hKbImTmQ
MVgXxWXdsrgtgwoHoraes2Dgs+EhiiLgJfmLzd56mZXWkw56ka9p3eWo/j32T36PuSrejNa4rJph
FZHnjuX03AybA4FKcLfNr7EjDzSYgR+MZBMVhrgf2DPn2rQRKQ4ni0Erouq3mLWJLFM5aqDCQ5AS
I1kCa1xYbnhR1tS8hvOfXpvf1RrPiVw/yyG/aX113TGQtDsI1N8/W0Awa3RAIASGKb2rGsA7llUf
ho4EalZJpD6Vq8SRp02cbZPiErjB1jasPcKYdoW7AddW3VG0870TGSa7WNNZofUbQiNp+/nmwexy
mPr2jWnZUDiielWyuC6zvd5a26rI9lRHSI5htzdn8E1XdqJ2VNfxwnkXDV8heoxXq7Kv7fhJ4zaz
BloS6bAJIqLKDbWsUHeXPWFmUKVdz1nhBV4FlbajQnao7GrTmdZh1L0zacEko+vjDfDaVHMbYVfh
kdxO3qllfJY4OyH/njKcX+g5dT4tD0oUdgOpbDyVlNc3RYcGOjt3SuBUWFhJwf2SNuMuSfRd0M/M
aA0Rc9xOZ9PQrMnuOY6Fvckz2AkcEONYyObCGGF2WQ9CBFh/b0VVnVe0VHBf3WbD5ymyh31BBCO8
ZMN5Kn0T6o2idReZa1UYWxnxiPTS2rAJ3ZXs6fSBc+zS8TIAQ44HK2fj35jtvqRVWsjp858/JmK2
av/2KUF2Y1KFQr3rvSnGfwIbTLnuIgTL/LXM45dAax98bp9fGZ/LSi2nrgKeUl2Xfnwxtd1lUFcn
UT9chHSeDfxouHsd4IBetMJ/i6fXu1SCrJ2wua5dD2J6w8JVda+Fnf2Lp5va92/OG4sGoFj8ojYT
jAFi8P3TXeOFLjoj8telUznsNKAbo2SYqP2Q5QNJJKFWiBBmS9MGx6rcadDT2Iq2R8GOuSCqTyXj
wtEmG0Y1mNmCaIC9EYh1DiHMaXE4Ckl8RdjdMLBuzWQ4hFF7U2jG3QRNFB3/M4qvm9SqKS64zSpX
mHrA/vDBssnXg+syNHbiVW/ZjyGK1MA3wFiMJkRHSdFfq647UMzaF9IPFqHMzhUF542U3mecdsYC
HMitNJJLAo2g69jFK906tbbN4pZW9qunzGTphvIV1MpNLaNHjHUoCGtoPcZrkbAPG4Kll3EGQXlS
sU+b0PmhbrmnNL2FjegtnOpLjxFyxC2Wp/2akBQ2bURLqGUYk/Jd0NsG70TkJqD45hyY1qFumD0K
nQ2Eiw2UWFN2Yu1DVDV3VL0Yx63HKS7vgnC4JBptWnUthEGt2ZlRuSwDfWeX2Y2t+p3OhgcD+1df
L24SbHKtQI4D46mK7BUReIcg009AZR9o665E4t6khqC4S1486JK1BySXSO5NoPQNX/2ZTqIlVYVZ
7vgAFm7XOfA3CYK3KcfmZ40/rQmV2KBCIkKWIk/9GE03s/kEm+1KtXuviE+izH+ouIXbkZgseqlI
yQB9ufG0VpTtkZwSx6HUbF09YBJdoTl4KlOiX9AkZDsB9Xw5mZDwIuk0D1HqXOXg1Bca5o6Myir1
xg5MZvS1TCwgleI1dFO2W96DVeNw0/JnnBIb1L5QYkley3gNsU3nh6aMdyg6NlFe3KS9vI6DaG+J
sV8BcVqUkz2CWTP4/83Ky9sNsKKVH9QZM9NjJPqdOQy7tFXYLbKQyleT3pkqewxq+2yozPsEl/rC
lo/2VN4OaduseapPSt95nYS591HQr/u6lRBqA5KSJXinZhxXVeAma9uazkDhLBAvXcLFqrZOpR8t
XLVrVLrXuTke45IgTpCdj4S0gnCgG70MvfFQWc1dN7mnnQOK0tTDtRafxGBBpWOQMG4MSPyiW5QF
j61o9/owfEkHuj9aBkE1MXdaTxVF1w8pEQRQSO9TZDFuBSTB8q5lS65u/AQEieJRu/RQ59RdeGWi
txt52i2qr1OIypA7Ngwey34TtFG4zRugXkZ57ZOjHruv3qR/HgJsQGLYGK33NbIwhqaEBAa2fe17
LykVMsdbW9pF5V4UxoVtXmbtddSFhwobbWuy1TGvSZJcAHK+S4eauj4lASiEmWSjidJQRC9xSFpE
T7ehfnS8296mNz6QcpC8eqFaGeKpDW6cAMCcWxERfTVrWYO6v85bweOinUc6De+wWKjpTKfj5IzI
fpijQmmdwC+1rXQdv4loyReUl0b/1bMLBE/mY4NaW46817F4dL1DOvQ0wK/0Wa3BWPlQ+iJetqG9
CsIvPdzotH0l8XWZFt6XwTSTjdfVX7RC7sIq2LEXfu6Iplu2nmLPl3tE+cTBwvb6FWWaRePl7kmk
YFEDgqtXbpDehyNRHoMYrWetEsbCBWyYI+Hf9FDkERvfqqB0VlNk3Hqx9pSP40MeT7fTEB0mn+zg
jrySpZmZ1knQxOTWJm62JrSvXXV99jVvp607OTvyqRcoyqimwMlkXTXcaBY+4EonSI59bAqpraGg
0BoVFXWfzIqGxpN0vqRddwrq+MUd21uk08WyjMQuiggnyCn2ksOXxmvfmbFLSI+jrrlNTKKAjXTN
Qv0Myv0rafHLyNgGjTy16OQZeXUeEz/H8ulclfbFODZbZLuCzGKTnp9FlLbV29qqJ1gCHXmlLWvL
a+j6aOPif6rJFwn+ZG9d2N4hFpFObnZLRSd9pGdPsm1ObTSo/WtTGafcG8L8vHE2JOORyh04A05G
ZLuOSxn6hbx5Wx38R36o3+/rf8Dm9P3TV8fmuH5zeV61L9V4/VK3SfNrNtj820MeZs1t/tf+6IeR
6PcP9MvPe1cemKyZzyAI8+yd/WkGT71r7L+d0tv5/tkRkiPm1fYZ66oQnyjKAJ9l30lcSfD9nx1v
9obStwbF8vZDP53P+enO/NG1//llfbuJf/437078D621DgQDYXLW/87l/+Yo7y5fejhW8cDobz/s
/X++DcYnwoF0aRgYdeafv91tMKAlffAeGPYnx7ZtA93Ut4vkgD/fA+8TfQRqI5717dffHrm/0aMw
10/+zffgjx8E+elNOIJ/+duD8Jv3AT4Vl09soPHtJlAn+Xu9D4ZOBQuL4QcfBuF+kuxluFL5uy+E
84l3AbCb/f0+/P1eCAlc84M3wYBuBkxPYNH83ZsgPxkQzgx7Ns/PP3+7N4Ji3cwA+NDQaOifQAnO
NB2O9PN4IHE0AkEBB/nrm/L3ehXAD4hvzyUe1OAl/3WG/ed58Q/HA8P7ZFFhmr3Cf/QI6K5Hx+zb
E+D9/cYDaSCI4xH96GPgfHJ17PgEwbx/DLxPVGMYFElZffvh13+vx4BoWPnta/nAY0AeEQFHOsWn
91fv8hI4uqDG87e7bKr/376Lv37ZYo7PBb5gcOVvP++XRViXUWzO68a/6wBozku2Dz75gjkfhZ3g
Tvz6hP80Ds56WEdASrOgVs4//8EQ8G8snn7daGCRSp7fthjhS/17O5E/+oMfq+x//v33FfbM9jXY
Qbz7w5lo8+2z/7ED+d/vhsm3XcBPv/yxK3j7nO///fsF/vNHv/usH1f14x934Ut1rL4qYpJnuM73
07w4pmxUaLApGm+H6vj8Uqt3m6C3JfA/TuifeDy/ToN/evy6PqY/H1YYc6n5o4ddhIirfxxmvuFg
iFlafvSwu2M1HrPjjwO9fZPEGzHrffjIYXr8qo7J795piCwsMD/6EadHfPi//I9jWvyvX/ZH4iTC
d3eIddW8ovrop+yPVcYePX5/k76tDj98bJ7T5DcHfltxffTAZ8e4Vsfn/uWl+HEH3r5bB5Luj3+Y
X7G/9oyfH5/V+Pvv0Ezq/fgHXD6HnP6P48xnLmh+/Be+zEP73H5VL1U1vju4NGeC0Udv+qHNouOX
H8d5O2s4xf+Fs74+Rse6AVzz7tjfdqsfPembMI7DdwMWHbJ5NfLRA98e0zD55eL43P441nxHvi+m
PnrwtxzI3xtazG+rlo8e/+Glbn5ZvGTBMXl39t+WAx89+vmRwZwBq6nePePf9xsfPfq2jTh68/N5
/1rk+vCx83dnPB8Xx9WPj/rrIwqz8q+il4vwa/4FRcxJnYBqqn8cfH562CyDpvsvvFH/BxnrH09P
OkWQNxnBR2/XeTjl1fvlAIee0eX/hRn2Fq0ucJif78/3g/8X3t7flyf902chKfrxb3/9y58FUPNX
/eNI8zf9rQw1268+/B38KYX+bYH410/9/CVgjXMcf/stUEIzKX9+9NxXL4kKfxzmH7dlrs59+NC/
vm9/jIv84M35l6i1Dx//X8OzPvgRb/PMn+cNf/AT/qVp8oPH/78KSQVmrXT0Nj5iUIfSdOSTmAIM
H1h6BBfSJsBtekbAxYRGwKkf4LpC4EYdmDT5GQ17eUTOckm84YmtvwmfrsLshcKmobBpQ+1ig1Qk
56QmFtkBAAAA//8=</cx:binary>
              </cx:geoCache>
            </cx:geography>
          </cx:layoutPr>
        </cx:series>
      </cx:plotAreaRegion>
    </cx:plotArea>
  </cx:chart>
  <cx:spPr>
    <a:solidFill>
      <a:schemeClr val="accent1">
        <a:lumMod val="5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394138</xdr:colOff>
      <xdr:row>23</xdr:row>
      <xdr:rowOff>172896</xdr:rowOff>
    </xdr:from>
    <xdr:to>
      <xdr:col>23</xdr:col>
      <xdr:colOff>0</xdr:colOff>
      <xdr:row>40</xdr:row>
      <xdr:rowOff>26276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23E38A-28FF-4A95-8D46-03CA3CF6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2891</xdr:colOff>
      <xdr:row>23</xdr:row>
      <xdr:rowOff>167376</xdr:rowOff>
    </xdr:from>
    <xdr:to>
      <xdr:col>15</xdr:col>
      <xdr:colOff>394138</xdr:colOff>
      <xdr:row>39</xdr:row>
      <xdr:rowOff>152136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21DBA-8EEE-4DC9-8994-A27BC79D8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7</xdr:col>
      <xdr:colOff>602243</xdr:colOff>
      <xdr:row>40</xdr:row>
      <xdr:rowOff>26276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49C964-927B-4A28-9AC8-692C05C193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22071</xdr:colOff>
      <xdr:row>4</xdr:row>
      <xdr:rowOff>212307</xdr:rowOff>
    </xdr:from>
    <xdr:to>
      <xdr:col>12</xdr:col>
      <xdr:colOff>13137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6113FD-8B8D-4EED-A1F5-24890B0774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13139</xdr:colOff>
      <xdr:row>2</xdr:row>
      <xdr:rowOff>249620</xdr:rowOff>
    </xdr:from>
    <xdr:to>
      <xdr:col>18</xdr:col>
      <xdr:colOff>1</xdr:colOff>
      <xdr:row>23</xdr:row>
      <xdr:rowOff>170793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Chart 6" descr="Sales by State&#10;">
              <a:extLst>
                <a:ext uri="{FF2B5EF4-FFF2-40B4-BE49-F238E27FC236}">
                  <a16:creationId xmlns:a16="http://schemas.microsoft.com/office/drawing/2014/main" id="{A0DA0829-3966-440F-AADA-038CA0AC05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52139" y="963995"/>
              <a:ext cx="3606362" cy="40645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12</xdr:col>
      <xdr:colOff>236483</xdr:colOff>
      <xdr:row>4</xdr:row>
      <xdr:rowOff>183931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6513563-E92E-E0D7-A637-D82A58291420}"/>
            </a:ext>
          </a:extLst>
        </xdr:cNvPr>
        <xdr:cNvSpPr txBox="1"/>
      </xdr:nvSpPr>
      <xdr:spPr>
        <a:xfrm>
          <a:off x="7488621" y="137948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15</xdr:col>
      <xdr:colOff>538655</xdr:colOff>
      <xdr:row>3</xdr:row>
      <xdr:rowOff>105104</xdr:rowOff>
    </xdr:from>
    <xdr:to>
      <xdr:col>17</xdr:col>
      <xdr:colOff>549165</xdr:colOff>
      <xdr:row>4</xdr:row>
      <xdr:rowOff>144516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D0BEB84A-5637-1D16-5611-AB46864EE12A}"/>
            </a:ext>
          </a:extLst>
        </xdr:cNvPr>
        <xdr:cNvSpPr txBox="1">
          <a:spLocks noChangeArrowheads="1"/>
        </xdr:cNvSpPr>
      </xdr:nvSpPr>
      <xdr:spPr bwMode="auto">
        <a:xfrm>
          <a:off x="9603827" y="1077311"/>
          <a:ext cx="1219200" cy="262757"/>
        </a:xfrm>
        <a:prstGeom prst="rect">
          <a:avLst/>
        </a:prstGeom>
        <a:solidFill>
          <a:schemeClr val="accent5">
            <a:lumMod val="5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IN" sz="1600" b="0" i="0" u="none" strike="noStrike" baseline="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t>Sales by State</a:t>
          </a:r>
        </a:p>
      </xdr:txBody>
    </xdr:sp>
    <xdr:clientData/>
  </xdr:twoCellAnchor>
  <xdr:twoCellAnchor>
    <xdr:from>
      <xdr:col>0</xdr:col>
      <xdr:colOff>0</xdr:colOff>
      <xdr:row>39</xdr:row>
      <xdr:rowOff>157655</xdr:rowOff>
    </xdr:from>
    <xdr:to>
      <xdr:col>23</xdr:col>
      <xdr:colOff>0</xdr:colOff>
      <xdr:row>49</xdr:row>
      <xdr:rowOff>157655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A3FB14B-9323-5673-633E-B368E5EA6840}"/>
            </a:ext>
          </a:extLst>
        </xdr:cNvPr>
        <xdr:cNvSpPr txBox="1"/>
      </xdr:nvSpPr>
      <xdr:spPr>
        <a:xfrm>
          <a:off x="0" y="7974724"/>
          <a:ext cx="14333483" cy="1839310"/>
        </a:xfrm>
        <a:prstGeom prst="rect">
          <a:avLst/>
        </a:prstGeom>
        <a:solidFill>
          <a:srgbClr val="0033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2000" b="1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BUSINESS INSIGHTS</a:t>
          </a:r>
        </a:p>
        <a:p>
          <a:endParaRPr lang="en-IN" sz="1100">
            <a:solidFill>
              <a:schemeClr val="accent5">
                <a:lumMod val="40000"/>
                <a:lumOff val="60000"/>
              </a:schemeClr>
            </a:solidFill>
          </a:endParaRPr>
        </a:p>
        <a:p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</a:rPr>
            <a:t>•</a:t>
          </a:r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Electronics generated the highest revenue.</a:t>
          </a:r>
        </a:p>
        <a:p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</a:rPr>
            <a:t>•</a:t>
          </a:r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February recorded the highest monthly sales.</a:t>
          </a:r>
        </a:p>
        <a:p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</a:rPr>
            <a:t>•</a:t>
          </a:r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Returning customers contributed major revenue.</a:t>
          </a:r>
        </a:p>
        <a:p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</a:rPr>
            <a:t>•</a:t>
          </a:r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Top performing cities identified through profit analysis.</a:t>
          </a:r>
        </a:p>
        <a:p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</a:rPr>
            <a:t>•</a:t>
          </a:r>
          <a:r>
            <a:rPr lang="en-IN" sz="1600">
              <a:solidFill>
                <a:schemeClr val="accent5">
                  <a:lumMod val="40000"/>
                  <a:lumOff val="6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Age group 46+ showed strong purchase activity.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3263889" backgroundQuery="1" createdVersion="8" refreshedVersion="8" minRefreshableVersion="3" recordCount="0" supportSubquery="1" supportAdvancedDrill="1" xr:uid="{A4062901-79BD-4E1E-9E56-6D85DDEE3621}">
  <cacheSource type="external" connectionId="1"/>
  <cacheFields count="3">
    <cacheField name="[Range].[Product_Name].[Product_Name]" caption="Product_Name" numFmtId="0" hierarchy="11" level="1">
      <sharedItems count="20">
        <s v="Chair"/>
        <s v="Charger"/>
        <s v="Desk Lamp"/>
        <s v="Hair Dryer"/>
        <s v="Headphones"/>
        <s v="Jacket"/>
        <s v="Jeans"/>
        <s v="Laptop"/>
        <s v="Makeup Kit"/>
        <s v="Monitor"/>
        <s v="Perfume"/>
        <s v="Power Bank"/>
        <s v="Shirt"/>
        <s v="Shoes"/>
        <s v="Skincare"/>
        <s v="Smartphone"/>
        <s v="Smartwatch"/>
        <s v="Sofa"/>
        <s v="Table"/>
        <s v="Tablet"/>
      </sharedItems>
    </cacheField>
    <cacheField name="[Measures].[Sum of Sales_Amount]" caption="Sum of Sales_Amount" numFmtId="0" hierarchy="24" level="32767"/>
    <cacheField name="[Measures].[Sum of Profit]" caption="Sum of Profit" numFmtId="0" hierarchy="25" level="32767"/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3611112" backgroundQuery="1" createdVersion="8" refreshedVersion="8" minRefreshableVersion="3" recordCount="0" supportSubquery="1" supportAdvancedDrill="1" xr:uid="{F253C2F8-D5D2-4706-8CCA-583C03DD2B3B}">
  <cacheSource type="external" connectionId="1"/>
  <cacheFields count="2">
    <cacheField name="[Range].[State].[State]" caption="State" numFmtId="0" hierarchy="7" level="1">
      <sharedItems count="11">
        <s v="Andhra Pradesh"/>
        <s v="Delhi"/>
        <s v="Gujarat"/>
        <s v="Karnataka"/>
        <s v="Kerala"/>
        <s v="Maharashtra"/>
        <s v="Rajasthan"/>
        <s v="Tamil Nadu"/>
        <s v="Telangana"/>
        <s v="Uttar Pradesh"/>
        <s v="West Bengal"/>
      </sharedItems>
    </cacheField>
    <cacheField name="[Measures].[Sum of Sales_Amount]" caption="Sum of Sales_Amount" numFmtId="0" hierarchy="24" level="32767"/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3958336" backgroundQuery="1" createdVersion="8" refreshedVersion="8" minRefreshableVersion="3" recordCount="0" supportSubquery="1" supportAdvancedDrill="1" xr:uid="{0CBEC5BD-2A8E-4B48-A91F-F897A6C56144}">
  <cacheSource type="external" connectionId="1"/>
  <cacheFields count="2">
    <cacheField name="[Range].[Category].[Category]" caption="Category" numFmtId="0" hierarchy="10" level="1">
      <sharedItems count="5">
        <s v="Beauty"/>
        <s v="Clothing"/>
        <s v="Electronics"/>
        <s v="Furniture"/>
        <s v="Mobile"/>
      </sharedItems>
    </cacheField>
    <cacheField name="[Measures].[Sum of Sales_Amount]" caption="Sum of Sales_Amount" numFmtId="0" hierarchy="24" level="32767"/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4421297" backgroundQuery="1" createdVersion="8" refreshedVersion="8" minRefreshableVersion="3" recordCount="0" supportSubquery="1" supportAdvancedDrill="1" xr:uid="{A600BD73-033B-484B-9DDA-5E422A845DF5}">
  <cacheSource type="external" connectionId="1"/>
  <cacheFields count="2">
    <cacheField name="[Range].[City].[City]" caption="City" numFmtId="0" hierarchy="6" level="1">
      <sharedItems count="13">
        <s v="Ahmedabad"/>
        <s v="Bangalore"/>
        <s v="Chennai"/>
        <s v="Delhi"/>
        <s v="Hyderabad"/>
        <s v="Jaipur"/>
        <s v="Kochi"/>
        <s v="Kolkata"/>
        <s v="Lucknow"/>
        <s v="Mumbai"/>
        <s v="Pune"/>
        <s v="Vijayawada"/>
        <s v="Visakhapatnam"/>
      </sharedItems>
    </cacheField>
    <cacheField name="[Measures].[Sum of Profit]" caption="Sum of Profit" numFmtId="0" hierarchy="25" level="32767"/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4768521" backgroundQuery="1" createdVersion="8" refreshedVersion="8" minRefreshableVersion="3" recordCount="0" supportSubquery="1" supportAdvancedDrill="1" xr:uid="{DC760B83-3332-4E37-ABAA-099CBC6ADDDF}">
  <cacheSource type="external" connectionId="1"/>
  <cacheFields count="3">
    <cacheField name="[Measures].[Sum of Sales_Amount]" caption="Sum of Sales_Amount" numFmtId="0" hierarchy="24" level="32767"/>
    <cacheField name="[Range].[Order_Date].[Order_Date]" caption="Order_Date" numFmtId="0" hierarchy="1" level="1">
      <sharedItems containsSemiMixedTypes="0" containsNonDate="0" containsDate="1" containsString="0" minDate="2025-01-01T00:00:00" maxDate="2025-03-24T00:00:00" count="52">
        <d v="2025-01-01T00:00:00"/>
        <d v="2025-01-03T00:00:00"/>
        <d v="2025-01-05T00:00:00"/>
        <d v="2025-01-08T00:00:00"/>
        <d v="2025-01-12T00:00:00"/>
        <d v="2025-01-15T00:00:00"/>
        <d v="2025-01-18T00:00:00"/>
        <d v="2025-01-22T00:00:00"/>
        <d v="2025-01-25T00:00:00"/>
        <d v="2025-01-28T00:00:00"/>
        <d v="2025-02-02T00:00:00"/>
        <d v="2025-02-03T00:00:00"/>
        <d v="2025-02-04T00:00:00"/>
        <d v="2025-02-05T00:00:00"/>
        <d v="2025-02-06T00:00:00"/>
        <d v="2025-02-07T00:00:00"/>
        <d v="2025-02-09T00:00:00"/>
        <d v="2025-02-10T00:00:00"/>
        <d v="2025-02-11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6T00:00:00"/>
        <d v="2025-02-27T00:00:00"/>
        <d v="2025-02-28T00:00:00"/>
        <d v="2025-03-01T00:00:00"/>
        <d v="2025-03-02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9T00:00:00"/>
        <d v="2025-03-20T00:00:00"/>
        <d v="2025-03-21T00:00:00"/>
        <d v="2025-03-22T00:00:00"/>
        <d v="2025-03-23T00:00:00"/>
      </sharedItems>
    </cacheField>
    <cacheField name="[Range].[Order_Date (Month)].[Order_Date (Month)]" caption="Order_Date (Month)" numFmtId="0" hierarchy="20" level="1">
      <sharedItems count="3">
        <s v="Jan"/>
        <s v="Feb"/>
        <s v="Mar"/>
      </sharedItems>
    </cacheField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2" memberValueDatatype="7" unbalanced="0">
      <fieldsUsage count="2">
        <fieldUsage x="-1"/>
        <fieldUsage x="1"/>
      </fieldsUsage>
    </cacheHierarchy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/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TI REDDY" refreshedDate="46191.363775115744" backgroundQuery="1" createdVersion="8" refreshedVersion="8" minRefreshableVersion="3" recordCount="0" supportSubquery="1" supportAdvancedDrill="1" xr:uid="{D94A3B90-E041-48A5-AD3C-391B98D64A30}">
  <cacheSource type="external" connectionId="1"/>
  <cacheFields count="2">
    <cacheField name="[Range].[Customer_Type].[Customer_Type]" caption="Customer_Type" numFmtId="0" hierarchy="8" level="1">
      <sharedItems count="2">
        <s v="New"/>
        <s v="Returning"/>
      </sharedItems>
    </cacheField>
    <cacheField name="[Measures].[Sum of Sales_Amount]" caption="Sum of Sales_Amount" numFmtId="0" hierarchy="24" level="32767"/>
  </cacheFields>
  <cacheHierarchies count="28">
    <cacheHierarchy uniqueName="[Range].[Order_ID]" caption="Order_ID" attribute="1" defaultMemberUniqueName="[Range].[Order_ID].[All]" allUniqueName="[Range].[Order_ID].[All]" dimensionUniqueName="[Range]" displayFolder="" count="0" memberValueDatatype="130" unbalanced="0"/>
    <cacheHierarchy uniqueName="[Range].[Order_Date]" caption="Order_Date" attribute="1" time="1" defaultMemberUniqueName="[Range].[Order_Date].[All]" allUniqueName="[Range].[Order_Date].[All]" dimensionUniqueName="[Range]" displayFolder="" count="0" memberValueDatatype="7" unbalanced="0"/>
    <cacheHierarchy uniqueName="[Range].[Customer_ID]" caption="Customer_ID" attribute="1" defaultMemberUniqueName="[Range].[Customer_ID].[All]" allUniqueName="[Range].[Customer_ID].[All]" dimensionUniqueName="[Range]" displayFolder="" count="0" memberValueDatatype="130" unbalanced="0"/>
    <cacheHierarchy uniqueName="[Range].[Customer_Name]" caption="Customer_Name" attribute="1" defaultMemberUniqueName="[Range].[Customer_Name].[All]" allUniqueName="[Range].[Customer_Name].[All]" dimensionUniqueName="[Range]" displayFolder="" count="0" memberValueDatatype="130" unbalanced="0"/>
    <cacheHierarchy uniqueName="[Range].[Age]" caption="Age" attribute="1" defaultMemberUniqueName="[Range].[Age].[All]" allUniqueName="[Range].[Age].[All]" dimensionUniqueName="[Range]" displayFolder="" count="0" memberValueDatatype="20" unbalanced="0"/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State]" caption="State" attribute="1" defaultMemberUniqueName="[Range].[State].[All]" allUniqueName="[Range].[State].[All]" dimensionUniqueName="[Range]" displayFolder="" count="2" memberValueDatatype="130" unbalanced="0"/>
    <cacheHierarchy uniqueName="[Range].[Customer_Type]" caption="Customer_Type" attribute="1" defaultMemberUniqueName="[Range].[Customer_Type].[All]" allUniqueName="[Range].[Customer_Typ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roduct_ID]" caption="Product_ID" attribute="1" defaultMemberUniqueName="[Range].[Product_ID].[All]" allUniqueName="[Range].[Product_ID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2" memberValueDatatype="130" unbalanced="0"/>
    <cacheHierarchy uniqueName="[Range].[Product_Name]" caption="Product_Name" attribute="1" defaultMemberUniqueName="[Range].[Product_Name].[All]" allUniqueName="[Range].[Product_Name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Unit_Price]" caption="Unit_Price" attribute="1" defaultMemberUniqueName="[Range].[Unit_Price].[All]" allUniqueName="[Range].[Unit_Price].[All]" dimensionUniqueName="[Range]" displayFolder="" count="0" memberValueDatatype="20" unbalanced="0"/>
    <cacheHierarchy uniqueName="[Range].[Discount]" caption="Discount" attribute="1" defaultMemberUniqueName="[Range].[Discount].[All]" allUniqueName="[Range].[Discount].[All]" dimensionUniqueName="[Range]" displayFolder="" count="0" memberValueDatatype="20" unbalanced="0"/>
    <cacheHierarchy uniqueName="[Range].[Payment_Method]" caption="Payment_Method" attribute="1" defaultMemberUniqueName="[Range].[Payment_Method].[All]" allUniqueName="[Range].[Payment_Method].[All]" dimensionUniqueName="[Range]" displayFolder="" count="2" memberValueDatatype="130" unbalanced="0"/>
    <cacheHierarchy uniqueName="[Range].[Delivery_Status]" caption="Delivery_Status" attribute="1" defaultMemberUniqueName="[Range].[Delivery_Status].[All]" allUniqueName="[Range].[Delivery_Status].[All]" dimensionUniqueName="[Range]" displayFolder="" count="0" memberValueDatatype="130" unbalanced="0"/>
    <cacheHierarchy uniqueName="[Range].[Sales_Amount]" caption="Sales_Amount" attribute="1" defaultMemberUniqueName="[Range].[Sales_Amount].[All]" allUniqueName="[Range].[Sales_Amount].[All]" dimensionUniqueName="[Range]" displayFolder="" count="0" memberValueDatatype="20" unbalanced="0"/>
    <cacheHierarchy uniqueName="[Range].[Cost]" caption="Cost" attribute="1" defaultMemberUniqueName="[Range].[Cost].[All]" allUniqueName="[Range].[Cost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20" unbalanced="0"/>
    <cacheHierarchy uniqueName="[Range].[Order_Date (Month)]" caption="Order_Date (Month)" attribute="1" defaultMemberUniqueName="[Range].[Order_Date (Month)].[All]" allUniqueName="[Range].[Order_Date (Month)].[All]" dimensionUniqueName="[Range]" displayFolder="" count="0" memberValueDatatype="130" unbalanced="0"/>
    <cacheHierarchy uniqueName="[Range].[Order_Date (Month Index)]" caption="Order_Date (Month Index)" attribute="1" defaultMemberUniqueName="[Range].[Order_Date (Month Index)].[All]" allUniqueName="[Range].[Order_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Sales_Amount]" caption="Sum of Sales_Amou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Range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Age]" caption="Sum of Ag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Unit_Price]" caption="Sum of Unit_Price" measure="1" displayFolder="" measureGroup="Rang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05770-892A-4E0D-9ABE-28D023E5CA71}" name="PivotTable1" cacheId="43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24" firstHeaderRow="0" firstDataRow="1" firstDataCol="1"/>
  <pivotFields count="3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_Amount" fld="1" baseField="0" baseItem="0"/>
    <dataField name="Sum of Profit" fld="2" baseField="0" baseItem="0"/>
  </dataFields>
  <formats count="2">
    <format dxfId="17">
      <pivotArea collapsedLevelsAreSubtotals="1" fieldPosition="0">
        <references count="1">
          <reference field="0" count="0"/>
        </references>
      </pivotArea>
    </format>
    <format dxfId="16">
      <pivotArea dataOnly="0" labelOnly="1" fieldPosition="0">
        <references count="1">
          <reference field="0" count="0"/>
        </references>
      </pivotArea>
    </format>
  </formats>
  <conditionalFormats count="1">
    <conditionalFormat type="all" priority="10">
      <pivotAreas count="1">
        <pivotArea fieldPosition="0">
          <references count="1">
            <reference field="0" count="0"/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6EDE4C-2584-46ED-A087-E2E6436B8D98}" name="PivotTable2" cacheId="44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15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_Amount" fld="1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FC3D68-AEC4-461F-9500-E06F6B17700A}" name="PivotTable1" cacheId="44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ales Detail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 Detail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03EDC-4E44-4BCB-8B4A-36311E9E8905}" name="PivotTable2" cacheId="44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17" firstHeaderRow="1" firstDataRow="1" firstDataCol="1"/>
  <pivotFields count="2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ales Details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ales Detail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E26F0-F046-4CEB-A028-C5D13097F9B0}" name="PivotTable4" cacheId="45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0">
  <location ref="A3:B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axis="axisRow" allDrilled="1" subtotalTop="0" showAll="0" dataSourceSort="1" defaultSubtotal="0">
      <items count="3">
        <item x="0" e="0"/>
        <item x="1" e="0"/>
        <item x="2" e="0"/>
      </items>
    </pivotField>
  </pivotFields>
  <rowFields count="2">
    <field x="2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0" baseField="0" baseItem="0"/>
  </dataFields>
  <chartFormats count="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58D37-29A6-40BC-B821-C036FC5E5BDB}" name="PivotTable3" cacheId="45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6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ales Details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ales Detail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leaned_Data!$A$1:$T$1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609A3-278B-40F0-AD3E-C3697A07E185}" name="Sales_Table" displayName="Sales_Table" ref="A1:T111" totalsRowShown="0">
  <autoFilter ref="A1:T111" xr:uid="{CED609A3-278B-40F0-AD3E-C3697A07E185}"/>
  <tableColumns count="20">
    <tableColumn id="1" xr3:uid="{DD430E4A-476E-4959-B76D-A9645C5BE8D1}" name="Order_ID"/>
    <tableColumn id="2" xr3:uid="{C4087D9B-AD59-4791-9A77-34CFD5A0FCFD}" name="Order_Date" dataDxfId="18"/>
    <tableColumn id="3" xr3:uid="{1DF01339-71B8-4F71-8EFE-59A9753D5EC1}" name="Customer_ID"/>
    <tableColumn id="4" xr3:uid="{4D7625AE-71B8-4AE1-B7D1-F2B3C9EB54CA}" name="Customer_Name"/>
    <tableColumn id="5" xr3:uid="{DE6FBDA0-2362-4E25-BE4E-5C346832AEE7}" name="Age"/>
    <tableColumn id="6" xr3:uid="{F1C51646-4D73-4BE5-8C85-1544F050BCF4}" name="Gender"/>
    <tableColumn id="7" xr3:uid="{AE290E6D-8C68-4965-A13C-F18E19AE5F70}" name="City"/>
    <tableColumn id="8" xr3:uid="{D38D3401-9CDE-44D8-BEC7-BE8D5264B3A7}" name="State"/>
    <tableColumn id="9" xr3:uid="{0B813B4B-9D4B-4283-BFFE-A9A925AD2CDD}" name="Customer_Type"/>
    <tableColumn id="10" xr3:uid="{DC3460A1-DBE7-47B1-9648-5F3F0A9348A9}" name="Product_ID"/>
    <tableColumn id="11" xr3:uid="{92B8649D-4AC0-476C-8741-43C669FEC719}" name="Category"/>
    <tableColumn id="12" xr3:uid="{A3AA967E-D8A8-43D0-B668-05BBDDB90011}" name="Product_Name"/>
    <tableColumn id="13" xr3:uid="{BBD97B7E-431B-4F80-9CB1-8C2A5D260B75}" name="Quantity"/>
    <tableColumn id="14" xr3:uid="{7E4EC28C-5BEE-42C2-8D7A-5C723763090D}" name="Unit_Price"/>
    <tableColumn id="15" xr3:uid="{4265D3B4-A0DC-40EA-BBCE-ED2D0B152D7F}" name="Discount"/>
    <tableColumn id="16" xr3:uid="{CB508381-AFE5-4925-B228-19EF9E8E381C}" name="Payment_Method"/>
    <tableColumn id="17" xr3:uid="{D75662D3-5E73-45A6-B0B2-0150EB895504}" name="Delivery_Status"/>
    <tableColumn id="18" xr3:uid="{66DF6B77-D85B-4153-AB5E-C5E4D8437F69}" name="Sales_Amount"/>
    <tableColumn id="19" xr3:uid="{A804584D-7B6F-47FC-9225-0FC5EA79AFA3}" name="Cost"/>
    <tableColumn id="20" xr3:uid="{9B3C473A-B1B3-4EF7-90C3-B8A8FE9CDEC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CD23-5772-44D5-8CD3-96A2CCC8D347}">
  <dimension ref="A1:BV90"/>
  <sheetViews>
    <sheetView tabSelected="1" zoomScale="48" workbookViewId="0">
      <selection sqref="A1:W50"/>
    </sheetView>
  </sheetViews>
  <sheetFormatPr defaultRowHeight="14.4" x14ac:dyDescent="0.3"/>
  <cols>
    <col min="22" max="22" width="15.21875" bestFit="1" customWidth="1"/>
  </cols>
  <sheetData>
    <row r="1" spans="1:74" ht="35.4" x14ac:dyDescent="0.3">
      <c r="A1" s="21" t="s">
        <v>352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</row>
    <row r="2" spans="1:74" ht="21" x14ac:dyDescent="0.4">
      <c r="A2" s="22" t="s">
        <v>341</v>
      </c>
      <c r="B2" s="22"/>
      <c r="C2" s="22"/>
      <c r="D2" s="22"/>
      <c r="E2" s="22"/>
      <c r="F2" s="22"/>
      <c r="G2" s="22" t="s">
        <v>343</v>
      </c>
      <c r="H2" s="22"/>
      <c r="I2" s="22"/>
      <c r="J2" s="22"/>
      <c r="K2" s="22"/>
      <c r="L2" s="22"/>
      <c r="M2" s="22" t="s">
        <v>342</v>
      </c>
      <c r="N2" s="22"/>
      <c r="O2" s="22"/>
      <c r="P2" s="22"/>
      <c r="Q2" s="22"/>
      <c r="R2" s="22"/>
      <c r="S2" s="22" t="s">
        <v>344</v>
      </c>
      <c r="T2" s="22"/>
      <c r="U2" s="22"/>
      <c r="V2" s="22"/>
      <c r="W2" s="22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</row>
    <row r="3" spans="1:74" ht="21" x14ac:dyDescent="0.4">
      <c r="A3" s="50">
        <f>Analysis!B3</f>
        <v>2686559</v>
      </c>
      <c r="B3" s="50"/>
      <c r="C3" s="50"/>
      <c r="D3" s="50"/>
      <c r="E3" s="50"/>
      <c r="F3" s="50"/>
      <c r="G3" s="51">
        <f>Analysis!B5</f>
        <v>110</v>
      </c>
      <c r="H3" s="51"/>
      <c r="I3" s="51"/>
      <c r="J3" s="51"/>
      <c r="K3" s="51"/>
      <c r="L3" s="51"/>
      <c r="M3" s="50">
        <f>Analysis!B4</f>
        <v>649459</v>
      </c>
      <c r="N3" s="50"/>
      <c r="O3" s="50"/>
      <c r="P3" s="50"/>
      <c r="Q3" s="50"/>
      <c r="R3" s="50"/>
      <c r="S3" s="50">
        <f>Analysis!B6</f>
        <v>24423.263636363637</v>
      </c>
      <c r="T3" s="50"/>
      <c r="U3" s="50"/>
      <c r="V3" s="50"/>
      <c r="W3" s="50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</row>
    <row r="4" spans="1:74" ht="18" x14ac:dyDescent="0.35">
      <c r="A4" s="31" t="s">
        <v>353</v>
      </c>
      <c r="B4" s="32"/>
      <c r="C4" s="32"/>
      <c r="D4" s="32"/>
      <c r="E4" s="32"/>
      <c r="F4" s="33"/>
      <c r="G4" s="31" t="s">
        <v>354</v>
      </c>
      <c r="H4" s="32"/>
      <c r="I4" s="32"/>
      <c r="J4" s="32"/>
      <c r="K4" s="32"/>
      <c r="L4" s="33"/>
      <c r="M4" s="34"/>
      <c r="N4" s="35"/>
      <c r="O4" s="35"/>
      <c r="P4" s="35"/>
      <c r="Q4" s="35"/>
      <c r="R4" s="36"/>
      <c r="S4" s="61" t="s">
        <v>364</v>
      </c>
      <c r="T4" s="62"/>
      <c r="U4" s="62"/>
      <c r="V4" s="62"/>
      <c r="W4" s="62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</row>
    <row r="5" spans="1:74" ht="18" x14ac:dyDescent="0.35">
      <c r="A5" s="52">
        <f>((M3 / A3 )/ 100)*100</f>
        <v>0.24174380685479083</v>
      </c>
      <c r="B5" s="53"/>
      <c r="C5" s="53"/>
      <c r="D5" s="53"/>
      <c r="E5" s="53"/>
      <c r="F5" s="54"/>
      <c r="G5" s="56">
        <f>A3/G3</f>
        <v>24423.263636363637</v>
      </c>
      <c r="H5" s="57"/>
      <c r="I5" s="57"/>
      <c r="J5" s="57"/>
      <c r="K5" s="57"/>
      <c r="L5" s="58"/>
      <c r="M5" s="37"/>
      <c r="N5" s="38"/>
      <c r="O5" s="38"/>
      <c r="P5" s="38"/>
      <c r="Q5" s="38"/>
      <c r="R5" s="39"/>
      <c r="S5" s="59" t="str">
        <f>S7</f>
        <v>Laptop</v>
      </c>
      <c r="T5" s="60"/>
      <c r="U5" s="60"/>
      <c r="V5" s="60"/>
      <c r="W5" s="60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</row>
    <row r="6" spans="1:74" ht="15.6" customHeight="1" x14ac:dyDescent="0.3">
      <c r="A6" s="26" t="s">
        <v>358</v>
      </c>
      <c r="B6" s="26"/>
      <c r="C6" s="26"/>
      <c r="D6" s="26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0" t="s">
        <v>357</v>
      </c>
      <c r="T6" s="20"/>
      <c r="U6" s="20"/>
      <c r="V6" s="20"/>
      <c r="W6" s="40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</row>
    <row r="7" spans="1:74" ht="15.6" customHeight="1" x14ac:dyDescent="0.3">
      <c r="A7" s="26"/>
      <c r="B7" s="26"/>
      <c r="C7" s="26"/>
      <c r="D7" s="26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42" t="str">
        <f>Sales!E4</f>
        <v>Laptop</v>
      </c>
      <c r="T7" s="42"/>
      <c r="U7" s="42"/>
      <c r="V7" s="44">
        <f>Sales!F4</f>
        <v>882000</v>
      </c>
      <c r="W7" s="45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</row>
    <row r="8" spans="1:74" ht="15.6" x14ac:dyDescent="0.3">
      <c r="A8" s="27" t="s">
        <v>359</v>
      </c>
      <c r="B8" s="27"/>
      <c r="C8" s="28">
        <f>Cleaned_Data!X2</f>
        <v>13</v>
      </c>
      <c r="D8" s="28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19" t="str">
        <f>Sales!E5</f>
        <v>Smartphone</v>
      </c>
      <c r="T8" s="19"/>
      <c r="U8" s="19"/>
      <c r="V8" s="44">
        <f>Sales!F5</f>
        <v>584500</v>
      </c>
      <c r="W8" s="4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</row>
    <row r="9" spans="1:74" ht="15.6" x14ac:dyDescent="0.3">
      <c r="A9" s="27"/>
      <c r="B9" s="27"/>
      <c r="C9" s="28"/>
      <c r="D9" s="28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19" t="str">
        <f>Sales!E6</f>
        <v>Tablet</v>
      </c>
      <c r="T9" s="19"/>
      <c r="U9" s="19"/>
      <c r="V9" s="44">
        <f>Sales!F6</f>
        <v>265150</v>
      </c>
      <c r="W9" s="4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</row>
    <row r="10" spans="1:74" ht="15.6" x14ac:dyDescent="0.3">
      <c r="A10" s="27" t="s">
        <v>360</v>
      </c>
      <c r="B10" s="27"/>
      <c r="C10" s="28">
        <f>Cleaned_Data!X3</f>
        <v>35</v>
      </c>
      <c r="D10" s="28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19" t="str">
        <f>Sales!E7</f>
        <v>Table</v>
      </c>
      <c r="T10" s="19"/>
      <c r="U10" s="19"/>
      <c r="V10" s="48">
        <f>Sales!F7</f>
        <v>141880</v>
      </c>
      <c r="W10" s="48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</row>
    <row r="11" spans="1:74" ht="15.6" x14ac:dyDescent="0.3">
      <c r="A11" s="27"/>
      <c r="B11" s="27"/>
      <c r="C11" s="28"/>
      <c r="D11" s="28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19" t="str">
        <f>Sales!E8</f>
        <v>Smartwatch</v>
      </c>
      <c r="T11" s="19"/>
      <c r="U11" s="19"/>
      <c r="V11" s="48">
        <f>Sales!F8</f>
        <v>117200</v>
      </c>
      <c r="W11" s="48"/>
      <c r="X11" s="24"/>
      <c r="Y11" s="24"/>
      <c r="Z11" s="24"/>
      <c r="AA11" s="24"/>
      <c r="AB11" s="24"/>
      <c r="AC11" s="24"/>
      <c r="AD11" s="55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</row>
    <row r="12" spans="1:74" ht="15.6" x14ac:dyDescent="0.3">
      <c r="A12" s="27" t="s">
        <v>361</v>
      </c>
      <c r="B12" s="27"/>
      <c r="C12" s="28">
        <f>Cleaned_Data!X4</f>
        <v>23</v>
      </c>
      <c r="D12" s="28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19" t="str">
        <f>Sales!E9</f>
        <v>Monitor</v>
      </c>
      <c r="T12" s="19"/>
      <c r="U12" s="19"/>
      <c r="V12" s="49">
        <f>Sales!F9</f>
        <v>91800</v>
      </c>
      <c r="W12" s="49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</row>
    <row r="13" spans="1:74" ht="15.6" x14ac:dyDescent="0.3">
      <c r="A13" s="27"/>
      <c r="B13" s="27"/>
      <c r="C13" s="28"/>
      <c r="D13" s="28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9" t="str">
        <f>Sales!E10</f>
        <v>Chair</v>
      </c>
      <c r="T13" s="19"/>
      <c r="U13" s="19"/>
      <c r="V13" s="46">
        <f>Sales!F10</f>
        <v>86575</v>
      </c>
      <c r="W13" s="46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</row>
    <row r="14" spans="1:74" ht="15.6" x14ac:dyDescent="0.3">
      <c r="A14" s="27" t="s">
        <v>362</v>
      </c>
      <c r="B14" s="27"/>
      <c r="C14" s="28">
        <f>Cleaned_Data!X5</f>
        <v>39</v>
      </c>
      <c r="D14" s="2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19" t="str">
        <f>Sales!E11</f>
        <v>Headphones</v>
      </c>
      <c r="T14" s="19"/>
      <c r="U14" s="19"/>
      <c r="V14" s="46">
        <f>Sales!F11</f>
        <v>76250</v>
      </c>
      <c r="W14" s="46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</row>
    <row r="15" spans="1:74" ht="15.6" customHeight="1" x14ac:dyDescent="0.3">
      <c r="A15" s="27"/>
      <c r="B15" s="27"/>
      <c r="C15" s="28"/>
      <c r="D15" s="28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19" t="str">
        <f>Sales!E12</f>
        <v>Shoes</v>
      </c>
      <c r="T15" s="19"/>
      <c r="U15" s="19"/>
      <c r="V15" s="47">
        <f>Sales!F12</f>
        <v>73615</v>
      </c>
      <c r="W15" s="47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</row>
    <row r="16" spans="1:74" ht="15.6" customHeight="1" x14ac:dyDescent="0.3">
      <c r="A16" s="29"/>
      <c r="B16" s="29"/>
      <c r="C16" s="30"/>
      <c r="D16" s="30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19" t="str">
        <f>Sales!E13</f>
        <v>Perfume</v>
      </c>
      <c r="T16" s="19"/>
      <c r="U16" s="19"/>
      <c r="V16" s="46">
        <f>Sales!F13</f>
        <v>73115</v>
      </c>
      <c r="W16" s="46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</row>
    <row r="17" spans="1:74" x14ac:dyDescent="0.3">
      <c r="A17" s="29"/>
      <c r="B17" s="29"/>
      <c r="C17" s="30"/>
      <c r="D17" s="30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41"/>
      <c r="T17" s="41"/>
      <c r="U17" s="17"/>
      <c r="V17" s="17"/>
      <c r="W17" s="17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</row>
    <row r="18" spans="1:74" x14ac:dyDescent="0.3">
      <c r="A18" s="29"/>
      <c r="B18" s="29"/>
      <c r="C18" s="30"/>
      <c r="D18" s="30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5"/>
      <c r="T18" s="25"/>
      <c r="U18" s="18"/>
      <c r="V18" s="18"/>
      <c r="W18" s="18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</row>
    <row r="19" spans="1:74" x14ac:dyDescent="0.3">
      <c r="A19" s="29"/>
      <c r="B19" s="29"/>
      <c r="C19" s="30"/>
      <c r="D19" s="30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5"/>
      <c r="T19" s="25"/>
      <c r="U19" s="18"/>
      <c r="V19" s="18"/>
      <c r="W19" s="18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</row>
    <row r="20" spans="1:74" x14ac:dyDescent="0.3">
      <c r="A20" s="29"/>
      <c r="B20" s="29"/>
      <c r="C20" s="30"/>
      <c r="D20" s="30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5"/>
      <c r="T20" s="25"/>
      <c r="U20" s="18"/>
      <c r="V20" s="18"/>
      <c r="W20" s="18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</row>
    <row r="21" spans="1:74" x14ac:dyDescent="0.3">
      <c r="A21" s="29"/>
      <c r="B21" s="29"/>
      <c r="C21" s="30"/>
      <c r="D21" s="30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5"/>
      <c r="T21" s="25"/>
      <c r="U21" s="18"/>
      <c r="V21" s="18"/>
      <c r="W21" s="18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</row>
    <row r="22" spans="1:74" x14ac:dyDescent="0.3">
      <c r="A22" s="29"/>
      <c r="B22" s="29"/>
      <c r="C22" s="30"/>
      <c r="D22" s="30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5"/>
      <c r="T22" s="25"/>
      <c r="U22" s="18"/>
      <c r="V22" s="18"/>
      <c r="W22" s="18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</row>
    <row r="23" spans="1:74" x14ac:dyDescent="0.3">
      <c r="A23" s="29"/>
      <c r="B23" s="29"/>
      <c r="C23" s="30"/>
      <c r="D23" s="30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5"/>
      <c r="T23" s="25"/>
      <c r="U23" s="18"/>
      <c r="V23" s="18"/>
      <c r="W23" s="18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</row>
    <row r="24" spans="1:74" x14ac:dyDescent="0.3">
      <c r="A24" s="23"/>
      <c r="B24" s="23"/>
      <c r="C24" s="23"/>
      <c r="D24" s="23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5"/>
      <c r="T24" s="25"/>
      <c r="U24" s="18"/>
      <c r="V24" s="18"/>
      <c r="W24" s="18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</row>
    <row r="25" spans="1:74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5"/>
      <c r="U25" s="25"/>
      <c r="V25" s="25"/>
      <c r="W25" s="25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</row>
    <row r="26" spans="1:74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</row>
    <row r="27" spans="1:74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</row>
    <row r="28" spans="1:74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</row>
    <row r="29" spans="1:74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</row>
    <row r="30" spans="1:74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 t="s">
        <v>363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</row>
    <row r="31" spans="1:74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</row>
    <row r="32" spans="1:74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</row>
    <row r="33" spans="1:74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</row>
    <row r="34" spans="1:74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</row>
    <row r="35" spans="1:74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</row>
    <row r="36" spans="1:74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</row>
    <row r="37" spans="1:74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</row>
    <row r="38" spans="1:74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</row>
    <row r="39" spans="1:74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</row>
    <row r="40" spans="1:74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</row>
    <row r="41" spans="1:74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</row>
    <row r="42" spans="1:74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</row>
    <row r="43" spans="1:74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</row>
    <row r="44" spans="1:74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</row>
    <row r="45" spans="1:74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</row>
    <row r="46" spans="1:74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</row>
    <row r="47" spans="1:74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</row>
    <row r="48" spans="1:74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</row>
    <row r="49" spans="1:74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</row>
    <row r="50" spans="1:74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</row>
    <row r="51" spans="1:74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</row>
    <row r="52" spans="1:74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</row>
    <row r="53" spans="1:74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</row>
    <row r="54" spans="1:74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</row>
    <row r="55" spans="1:74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</row>
    <row r="56" spans="1:74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</row>
    <row r="57" spans="1:74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</row>
    <row r="58" spans="1:74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</row>
    <row r="59" spans="1:74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</row>
    <row r="60" spans="1:74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</row>
    <row r="61" spans="1:74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</row>
    <row r="62" spans="1:74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</row>
    <row r="63" spans="1:74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</row>
    <row r="64" spans="1:74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</row>
    <row r="65" spans="1:74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</row>
    <row r="66" spans="1:74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</row>
    <row r="67" spans="1:74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</row>
    <row r="68" spans="1:74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</row>
    <row r="69" spans="1:74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</row>
    <row r="70" spans="1:74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</row>
    <row r="71" spans="1:74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</row>
    <row r="72" spans="1:74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</row>
    <row r="73" spans="1:74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</row>
    <row r="74" spans="1:74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</row>
    <row r="75" spans="1:74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</row>
    <row r="76" spans="1:74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</row>
    <row r="77" spans="1:74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</row>
    <row r="78" spans="1:74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</row>
    <row r="79" spans="1:74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</row>
    <row r="80" spans="1:74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</row>
    <row r="81" spans="1:74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</row>
    <row r="82" spans="1:74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</row>
    <row r="83" spans="1:74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</row>
    <row r="84" spans="1:74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</row>
    <row r="85" spans="1:74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</row>
    <row r="86" spans="1:74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</row>
    <row r="87" spans="1:74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</row>
    <row r="88" spans="1:74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</row>
    <row r="89" spans="1:74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</row>
    <row r="90" spans="1:74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</row>
  </sheetData>
  <mergeCells count="61">
    <mergeCell ref="V16:W16"/>
    <mergeCell ref="S4:W4"/>
    <mergeCell ref="S5:W5"/>
    <mergeCell ref="S6:W6"/>
    <mergeCell ref="S7:U7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V7:W7"/>
    <mergeCell ref="V10:W10"/>
    <mergeCell ref="V11:W11"/>
    <mergeCell ref="V12:W12"/>
    <mergeCell ref="V13:W13"/>
    <mergeCell ref="V14:W14"/>
    <mergeCell ref="A22:B23"/>
    <mergeCell ref="C22:D23"/>
    <mergeCell ref="A24:D24"/>
    <mergeCell ref="A4:F4"/>
    <mergeCell ref="A5:F5"/>
    <mergeCell ref="A16:B17"/>
    <mergeCell ref="C16:D17"/>
    <mergeCell ref="A18:B19"/>
    <mergeCell ref="C18:D19"/>
    <mergeCell ref="A20:B21"/>
    <mergeCell ref="C20:D21"/>
    <mergeCell ref="A1:W1"/>
    <mergeCell ref="A2:F2"/>
    <mergeCell ref="A3:F3"/>
    <mergeCell ref="G2:L2"/>
    <mergeCell ref="G3:L3"/>
    <mergeCell ref="M2:R2"/>
    <mergeCell ref="M3:R3"/>
    <mergeCell ref="S2:W2"/>
    <mergeCell ref="S3:W3"/>
    <mergeCell ref="G4:L4"/>
    <mergeCell ref="G5:L5"/>
    <mergeCell ref="M4:R4"/>
    <mergeCell ref="V8:W8"/>
    <mergeCell ref="V9:W9"/>
    <mergeCell ref="U21:W21"/>
    <mergeCell ref="U22:W22"/>
    <mergeCell ref="U23:W23"/>
    <mergeCell ref="U24:W24"/>
    <mergeCell ref="A6:D7"/>
    <mergeCell ref="A8:B9"/>
    <mergeCell ref="A10:B11"/>
    <mergeCell ref="A12:B13"/>
    <mergeCell ref="A14:B15"/>
    <mergeCell ref="C8:D9"/>
    <mergeCell ref="C10:D11"/>
    <mergeCell ref="C12:D13"/>
    <mergeCell ref="C14:D15"/>
    <mergeCell ref="U18:W18"/>
    <mergeCell ref="U19:W19"/>
    <mergeCell ref="U20:W20"/>
  </mergeCells>
  <conditionalFormatting sqref="V7:W16 S7:S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{5C1E9B9B-DD87-4B7D-9BA4-48191AEC1ABD}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E9B9B-DD87-4B7D-9BA4-48191AEC1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V7:W16 S7:S16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B0701-30D6-4E4C-8590-6FD4ED5D484E}">
  <dimension ref="A1:T111"/>
  <sheetViews>
    <sheetView topLeftCell="E1" workbookViewId="0">
      <selection sqref="A1:T1"/>
    </sheetView>
  </sheetViews>
  <sheetFormatPr defaultRowHeight="14.4" x14ac:dyDescent="0.3"/>
  <cols>
    <col min="1" max="1" width="10.77734375" bestFit="1" customWidth="1"/>
    <col min="2" max="2" width="12.88671875" bestFit="1" customWidth="1"/>
    <col min="3" max="3" width="14.109375" bestFit="1" customWidth="1"/>
    <col min="4" max="4" width="17.44140625" bestFit="1" customWidth="1"/>
    <col min="5" max="5" width="6.44140625" bestFit="1" customWidth="1"/>
    <col min="6" max="6" width="9.33203125" bestFit="1" customWidth="1"/>
    <col min="7" max="7" width="13.5546875" bestFit="1" customWidth="1"/>
    <col min="8" max="8" width="13.77734375" bestFit="1" customWidth="1"/>
    <col min="9" max="9" width="16.5546875" bestFit="1" customWidth="1"/>
    <col min="10" max="10" width="12.6640625" bestFit="1" customWidth="1"/>
    <col min="11" max="11" width="10.77734375" bestFit="1" customWidth="1"/>
    <col min="12" max="12" width="16" bestFit="1" customWidth="1"/>
    <col min="13" max="13" width="10.5546875" bestFit="1" customWidth="1"/>
    <col min="14" max="14" width="11.88671875" bestFit="1" customWidth="1"/>
    <col min="15" max="15" width="10.5546875" bestFit="1" customWidth="1"/>
    <col min="16" max="16" width="18.6640625" bestFit="1" customWidth="1"/>
    <col min="17" max="17" width="16.33203125" bestFit="1" customWidth="1"/>
    <col min="18" max="18" width="15.44140625" bestFit="1" customWidth="1"/>
    <col min="19" max="19" width="7" bestFit="1" customWidth="1"/>
    <col min="20" max="20" width="7.88671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45658</v>
      </c>
      <c r="C2" t="s">
        <v>21</v>
      </c>
      <c r="D2" t="s">
        <v>22</v>
      </c>
      <c r="E2">
        <v>25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1</v>
      </c>
      <c r="N2">
        <v>60000</v>
      </c>
      <c r="O2">
        <v>5</v>
      </c>
      <c r="P2" t="s">
        <v>30</v>
      </c>
      <c r="Q2" t="s">
        <v>31</v>
      </c>
      <c r="R2">
        <v>57000</v>
      </c>
      <c r="S2">
        <v>45000</v>
      </c>
      <c r="T2">
        <v>12000</v>
      </c>
    </row>
    <row r="3" spans="1:20" x14ac:dyDescent="0.3">
      <c r="A3" t="s">
        <v>32</v>
      </c>
      <c r="B3" s="1">
        <v>45660</v>
      </c>
      <c r="C3" t="s">
        <v>33</v>
      </c>
      <c r="D3" t="s">
        <v>34</v>
      </c>
      <c r="E3">
        <v>32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>
        <v>4</v>
      </c>
      <c r="N3">
        <v>3000</v>
      </c>
      <c r="O3">
        <v>10</v>
      </c>
      <c r="P3" t="s">
        <v>42</v>
      </c>
      <c r="Q3" t="s">
        <v>31</v>
      </c>
      <c r="R3">
        <v>10800</v>
      </c>
      <c r="S3">
        <v>7000</v>
      </c>
      <c r="T3">
        <v>3800</v>
      </c>
    </row>
    <row r="4" spans="1:20" x14ac:dyDescent="0.3">
      <c r="A4" t="s">
        <v>43</v>
      </c>
      <c r="B4" s="1">
        <v>45662</v>
      </c>
      <c r="C4" t="s">
        <v>44</v>
      </c>
      <c r="D4" t="s">
        <v>45</v>
      </c>
      <c r="E4">
        <v>28</v>
      </c>
      <c r="F4" t="s">
        <v>23</v>
      </c>
      <c r="G4" t="s">
        <v>46</v>
      </c>
      <c r="H4" t="s">
        <v>47</v>
      </c>
      <c r="I4" t="s">
        <v>26</v>
      </c>
      <c r="J4" t="s">
        <v>48</v>
      </c>
      <c r="K4" t="s">
        <v>49</v>
      </c>
      <c r="L4" t="s">
        <v>50</v>
      </c>
      <c r="M4">
        <v>2</v>
      </c>
      <c r="N4">
        <v>25000</v>
      </c>
      <c r="O4">
        <v>8</v>
      </c>
      <c r="P4" t="s">
        <v>30</v>
      </c>
      <c r="Q4" t="s">
        <v>31</v>
      </c>
      <c r="R4">
        <v>46000</v>
      </c>
      <c r="S4">
        <v>36000</v>
      </c>
      <c r="T4">
        <v>10000</v>
      </c>
    </row>
    <row r="5" spans="1:20" x14ac:dyDescent="0.3">
      <c r="A5" t="s">
        <v>51</v>
      </c>
      <c r="B5" s="1">
        <v>45665</v>
      </c>
      <c r="C5" t="s">
        <v>52</v>
      </c>
      <c r="D5" t="s">
        <v>53</v>
      </c>
      <c r="E5">
        <v>35</v>
      </c>
      <c r="F5" t="s">
        <v>35</v>
      </c>
      <c r="G5" t="s">
        <v>54</v>
      </c>
      <c r="H5" t="s">
        <v>55</v>
      </c>
      <c r="I5" t="s">
        <v>38</v>
      </c>
      <c r="J5" t="s">
        <v>56</v>
      </c>
      <c r="K5" t="s">
        <v>57</v>
      </c>
      <c r="L5" t="s">
        <v>58</v>
      </c>
      <c r="M5">
        <v>5</v>
      </c>
      <c r="N5">
        <v>1500</v>
      </c>
      <c r="O5">
        <v>5</v>
      </c>
      <c r="P5" t="s">
        <v>59</v>
      </c>
      <c r="Q5" t="s">
        <v>60</v>
      </c>
      <c r="R5">
        <v>7125</v>
      </c>
      <c r="S5">
        <v>5000</v>
      </c>
      <c r="T5">
        <v>2125</v>
      </c>
    </row>
    <row r="6" spans="1:20" x14ac:dyDescent="0.3">
      <c r="A6" t="s">
        <v>61</v>
      </c>
      <c r="B6" s="1">
        <v>45669</v>
      </c>
      <c r="C6" t="s">
        <v>62</v>
      </c>
      <c r="D6" t="s">
        <v>63</v>
      </c>
      <c r="E6">
        <v>40</v>
      </c>
      <c r="F6" t="s">
        <v>23</v>
      </c>
      <c r="G6" t="s">
        <v>64</v>
      </c>
      <c r="H6" t="s">
        <v>65</v>
      </c>
      <c r="I6" t="s">
        <v>26</v>
      </c>
      <c r="J6" t="s">
        <v>66</v>
      </c>
      <c r="K6" t="s">
        <v>28</v>
      </c>
      <c r="L6" t="s">
        <v>67</v>
      </c>
      <c r="M6">
        <v>1</v>
      </c>
      <c r="N6">
        <v>30000</v>
      </c>
      <c r="O6">
        <v>12</v>
      </c>
      <c r="P6" t="s">
        <v>42</v>
      </c>
      <c r="Q6" t="s">
        <v>31</v>
      </c>
      <c r="R6">
        <v>26400</v>
      </c>
      <c r="S6">
        <v>21000</v>
      </c>
      <c r="T6">
        <v>5400</v>
      </c>
    </row>
    <row r="7" spans="1:20" x14ac:dyDescent="0.3">
      <c r="A7" t="s">
        <v>68</v>
      </c>
      <c r="B7" s="1">
        <v>45672</v>
      </c>
      <c r="C7" t="s">
        <v>69</v>
      </c>
      <c r="D7" t="s">
        <v>70</v>
      </c>
      <c r="E7">
        <v>27</v>
      </c>
      <c r="F7" t="s">
        <v>35</v>
      </c>
      <c r="G7" t="s">
        <v>71</v>
      </c>
      <c r="H7" t="s">
        <v>71</v>
      </c>
      <c r="I7" t="s">
        <v>38</v>
      </c>
      <c r="J7" t="s">
        <v>72</v>
      </c>
      <c r="K7" t="s">
        <v>73</v>
      </c>
      <c r="L7" t="s">
        <v>74</v>
      </c>
      <c r="M7">
        <v>3</v>
      </c>
      <c r="N7">
        <v>2000</v>
      </c>
      <c r="O7">
        <v>10</v>
      </c>
      <c r="P7" t="s">
        <v>30</v>
      </c>
      <c r="Q7" t="s">
        <v>31</v>
      </c>
      <c r="R7">
        <v>5400</v>
      </c>
      <c r="S7">
        <v>3500</v>
      </c>
      <c r="T7">
        <v>1900</v>
      </c>
    </row>
    <row r="8" spans="1:20" x14ac:dyDescent="0.3">
      <c r="A8" t="s">
        <v>75</v>
      </c>
      <c r="B8" s="1">
        <v>45675</v>
      </c>
      <c r="C8" t="s">
        <v>76</v>
      </c>
      <c r="D8" t="s">
        <v>77</v>
      </c>
      <c r="E8">
        <v>30</v>
      </c>
      <c r="F8" t="s">
        <v>23</v>
      </c>
      <c r="G8" t="s">
        <v>78</v>
      </c>
      <c r="H8" t="s">
        <v>65</v>
      </c>
      <c r="I8" t="s">
        <v>26</v>
      </c>
      <c r="J8" t="s">
        <v>79</v>
      </c>
      <c r="K8" t="s">
        <v>40</v>
      </c>
      <c r="L8" t="s">
        <v>80</v>
      </c>
      <c r="M8">
        <v>2</v>
      </c>
      <c r="N8">
        <v>8000</v>
      </c>
      <c r="O8">
        <v>7</v>
      </c>
      <c r="P8" t="s">
        <v>42</v>
      </c>
      <c r="Q8" t="s">
        <v>31</v>
      </c>
      <c r="R8">
        <v>14880</v>
      </c>
      <c r="S8">
        <v>11000</v>
      </c>
      <c r="T8">
        <v>3880</v>
      </c>
    </row>
    <row r="9" spans="1:20" x14ac:dyDescent="0.3">
      <c r="A9" t="s">
        <v>81</v>
      </c>
      <c r="B9" s="1">
        <v>45679</v>
      </c>
      <c r="C9" t="s">
        <v>82</v>
      </c>
      <c r="D9" t="s">
        <v>83</v>
      </c>
      <c r="E9">
        <v>26</v>
      </c>
      <c r="F9" t="s">
        <v>35</v>
      </c>
      <c r="G9" t="s">
        <v>24</v>
      </c>
      <c r="H9" t="s">
        <v>25</v>
      </c>
      <c r="I9" t="s">
        <v>26</v>
      </c>
      <c r="J9" t="s">
        <v>84</v>
      </c>
      <c r="K9" t="s">
        <v>49</v>
      </c>
      <c r="L9" t="s">
        <v>85</v>
      </c>
      <c r="M9">
        <v>3</v>
      </c>
      <c r="N9">
        <v>4000</v>
      </c>
      <c r="O9">
        <v>5</v>
      </c>
      <c r="P9" t="s">
        <v>30</v>
      </c>
      <c r="Q9" t="s">
        <v>86</v>
      </c>
      <c r="R9">
        <v>11400</v>
      </c>
      <c r="S9">
        <v>8000</v>
      </c>
      <c r="T9">
        <v>3400</v>
      </c>
    </row>
    <row r="10" spans="1:20" x14ac:dyDescent="0.3">
      <c r="A10" t="s">
        <v>87</v>
      </c>
      <c r="B10" s="1">
        <v>45682</v>
      </c>
      <c r="C10" t="s">
        <v>88</v>
      </c>
      <c r="D10" t="s">
        <v>89</v>
      </c>
      <c r="E10">
        <v>45</v>
      </c>
      <c r="F10" t="s">
        <v>23</v>
      </c>
      <c r="G10" t="s">
        <v>46</v>
      </c>
      <c r="H10" t="s">
        <v>47</v>
      </c>
      <c r="I10" t="s">
        <v>38</v>
      </c>
      <c r="J10" t="s">
        <v>90</v>
      </c>
      <c r="K10" t="s">
        <v>28</v>
      </c>
      <c r="L10" t="s">
        <v>91</v>
      </c>
      <c r="M10">
        <v>2</v>
      </c>
      <c r="N10">
        <v>12000</v>
      </c>
      <c r="O10">
        <v>10</v>
      </c>
      <c r="P10" t="s">
        <v>42</v>
      </c>
      <c r="Q10" t="s">
        <v>31</v>
      </c>
      <c r="R10">
        <v>21600</v>
      </c>
      <c r="S10">
        <v>16000</v>
      </c>
      <c r="T10">
        <v>5600</v>
      </c>
    </row>
    <row r="11" spans="1:20" x14ac:dyDescent="0.3">
      <c r="A11" t="s">
        <v>92</v>
      </c>
      <c r="B11" s="1">
        <v>45685</v>
      </c>
      <c r="C11" t="s">
        <v>93</v>
      </c>
      <c r="D11" t="s">
        <v>94</v>
      </c>
      <c r="E11">
        <v>38</v>
      </c>
      <c r="F11" t="s">
        <v>35</v>
      </c>
      <c r="G11" t="s">
        <v>36</v>
      </c>
      <c r="H11" t="s">
        <v>37</v>
      </c>
      <c r="I11" t="s">
        <v>26</v>
      </c>
      <c r="J11" t="s">
        <v>95</v>
      </c>
      <c r="K11" t="s">
        <v>57</v>
      </c>
      <c r="L11" t="s">
        <v>96</v>
      </c>
      <c r="M11">
        <v>2</v>
      </c>
      <c r="N11">
        <v>5000</v>
      </c>
      <c r="O11">
        <v>15</v>
      </c>
      <c r="P11" t="s">
        <v>59</v>
      </c>
      <c r="Q11" t="s">
        <v>31</v>
      </c>
      <c r="R11">
        <v>8500</v>
      </c>
      <c r="S11">
        <v>6000</v>
      </c>
      <c r="T11">
        <v>2500</v>
      </c>
    </row>
    <row r="12" spans="1:20" x14ac:dyDescent="0.3">
      <c r="A12" t="s">
        <v>97</v>
      </c>
      <c r="B12" s="1">
        <v>45729</v>
      </c>
      <c r="C12" t="s">
        <v>98</v>
      </c>
      <c r="D12" t="s">
        <v>99</v>
      </c>
      <c r="E12">
        <v>33</v>
      </c>
      <c r="F12" t="s">
        <v>23</v>
      </c>
      <c r="G12" t="s">
        <v>54</v>
      </c>
      <c r="H12" t="s">
        <v>55</v>
      </c>
      <c r="I12" t="s">
        <v>26</v>
      </c>
      <c r="J12" t="s">
        <v>100</v>
      </c>
      <c r="K12" t="s">
        <v>28</v>
      </c>
      <c r="L12" t="s">
        <v>29</v>
      </c>
      <c r="M12">
        <v>4</v>
      </c>
      <c r="N12">
        <v>55000</v>
      </c>
      <c r="O12">
        <v>0</v>
      </c>
      <c r="P12" t="s">
        <v>30</v>
      </c>
      <c r="Q12" t="s">
        <v>31</v>
      </c>
      <c r="R12">
        <v>220000</v>
      </c>
      <c r="S12">
        <v>168000</v>
      </c>
      <c r="T12">
        <v>52000</v>
      </c>
    </row>
    <row r="13" spans="1:20" x14ac:dyDescent="0.3">
      <c r="A13" t="s">
        <v>101</v>
      </c>
      <c r="B13" s="1">
        <v>45702</v>
      </c>
      <c r="C13" t="s">
        <v>102</v>
      </c>
      <c r="D13" t="s">
        <v>103</v>
      </c>
      <c r="E13">
        <v>30</v>
      </c>
      <c r="F13" t="s">
        <v>23</v>
      </c>
      <c r="G13" t="s">
        <v>104</v>
      </c>
      <c r="H13" t="s">
        <v>105</v>
      </c>
      <c r="I13" t="s">
        <v>38</v>
      </c>
      <c r="J13" t="s">
        <v>100</v>
      </c>
      <c r="K13" t="s">
        <v>40</v>
      </c>
      <c r="L13" t="s">
        <v>106</v>
      </c>
      <c r="M13">
        <v>3</v>
      </c>
      <c r="N13">
        <v>1500</v>
      </c>
      <c r="O13">
        <v>0</v>
      </c>
      <c r="P13" t="s">
        <v>42</v>
      </c>
      <c r="Q13" t="s">
        <v>60</v>
      </c>
      <c r="R13">
        <v>4500</v>
      </c>
      <c r="S13">
        <v>2700</v>
      </c>
      <c r="T13">
        <v>1800</v>
      </c>
    </row>
    <row r="14" spans="1:20" x14ac:dyDescent="0.3">
      <c r="A14" t="s">
        <v>107</v>
      </c>
      <c r="B14" s="1">
        <v>45710</v>
      </c>
      <c r="C14" t="s">
        <v>108</v>
      </c>
      <c r="D14" t="s">
        <v>109</v>
      </c>
      <c r="E14">
        <v>39</v>
      </c>
      <c r="F14" t="s">
        <v>23</v>
      </c>
      <c r="G14" t="s">
        <v>36</v>
      </c>
      <c r="H14" t="s">
        <v>37</v>
      </c>
      <c r="I14" t="s">
        <v>26</v>
      </c>
      <c r="J14" t="s">
        <v>110</v>
      </c>
      <c r="K14" t="s">
        <v>57</v>
      </c>
      <c r="L14" t="s">
        <v>58</v>
      </c>
      <c r="M14">
        <v>3</v>
      </c>
      <c r="N14">
        <v>1800</v>
      </c>
      <c r="O14">
        <v>15</v>
      </c>
      <c r="P14" t="s">
        <v>59</v>
      </c>
      <c r="Q14" t="s">
        <v>31</v>
      </c>
      <c r="R14">
        <v>4590</v>
      </c>
      <c r="S14">
        <v>3000</v>
      </c>
      <c r="T14">
        <v>1590</v>
      </c>
    </row>
    <row r="15" spans="1:20" x14ac:dyDescent="0.3">
      <c r="A15" t="s">
        <v>111</v>
      </c>
      <c r="B15" s="1">
        <v>45735</v>
      </c>
      <c r="C15" t="s">
        <v>112</v>
      </c>
      <c r="D15" t="s">
        <v>113</v>
      </c>
      <c r="E15">
        <v>23</v>
      </c>
      <c r="F15" t="s">
        <v>23</v>
      </c>
      <c r="G15" t="s">
        <v>114</v>
      </c>
      <c r="H15" t="s">
        <v>115</v>
      </c>
      <c r="I15" t="s">
        <v>38</v>
      </c>
      <c r="J15" t="s">
        <v>116</v>
      </c>
      <c r="K15" t="s">
        <v>73</v>
      </c>
      <c r="L15" t="s">
        <v>117</v>
      </c>
      <c r="M15">
        <v>2</v>
      </c>
      <c r="N15">
        <v>2500</v>
      </c>
      <c r="O15">
        <v>0</v>
      </c>
      <c r="P15" t="s">
        <v>30</v>
      </c>
      <c r="Q15" t="s">
        <v>31</v>
      </c>
      <c r="R15">
        <v>5000</v>
      </c>
      <c r="S15">
        <v>3200</v>
      </c>
      <c r="T15">
        <v>1800</v>
      </c>
    </row>
    <row r="16" spans="1:20" x14ac:dyDescent="0.3">
      <c r="A16" t="s">
        <v>118</v>
      </c>
      <c r="B16" s="1">
        <v>45738</v>
      </c>
      <c r="C16" t="s">
        <v>119</v>
      </c>
      <c r="D16" t="s">
        <v>109</v>
      </c>
      <c r="E16">
        <v>24</v>
      </c>
      <c r="F16" t="s">
        <v>23</v>
      </c>
      <c r="G16" t="s">
        <v>78</v>
      </c>
      <c r="H16" t="s">
        <v>65</v>
      </c>
      <c r="I16" t="s">
        <v>38</v>
      </c>
      <c r="J16" t="s">
        <v>120</v>
      </c>
      <c r="K16" t="s">
        <v>57</v>
      </c>
      <c r="L16" t="s">
        <v>121</v>
      </c>
      <c r="M16">
        <v>3</v>
      </c>
      <c r="N16">
        <v>2500</v>
      </c>
      <c r="O16">
        <v>10</v>
      </c>
      <c r="P16" t="s">
        <v>42</v>
      </c>
      <c r="Q16" t="s">
        <v>31</v>
      </c>
      <c r="R16">
        <v>6750</v>
      </c>
      <c r="S16">
        <v>4500</v>
      </c>
      <c r="T16">
        <v>2250</v>
      </c>
    </row>
    <row r="17" spans="1:20" x14ac:dyDescent="0.3">
      <c r="A17" t="s">
        <v>122</v>
      </c>
      <c r="B17" s="1">
        <v>45733</v>
      </c>
      <c r="C17" t="s">
        <v>123</v>
      </c>
      <c r="D17" t="s">
        <v>124</v>
      </c>
      <c r="E17">
        <v>58</v>
      </c>
      <c r="F17" t="s">
        <v>23</v>
      </c>
      <c r="G17" t="s">
        <v>46</v>
      </c>
      <c r="H17" t="s">
        <v>47</v>
      </c>
      <c r="I17" t="s">
        <v>26</v>
      </c>
      <c r="J17" t="s">
        <v>125</v>
      </c>
      <c r="K17" t="s">
        <v>40</v>
      </c>
      <c r="L17" t="s">
        <v>106</v>
      </c>
      <c r="M17">
        <v>3</v>
      </c>
      <c r="N17">
        <v>1500</v>
      </c>
      <c r="O17">
        <v>15</v>
      </c>
      <c r="P17" t="s">
        <v>42</v>
      </c>
      <c r="Q17" t="s">
        <v>31</v>
      </c>
      <c r="R17">
        <v>3825</v>
      </c>
      <c r="S17">
        <v>2700</v>
      </c>
      <c r="T17">
        <v>1125</v>
      </c>
    </row>
    <row r="18" spans="1:20" x14ac:dyDescent="0.3">
      <c r="A18" t="s">
        <v>126</v>
      </c>
      <c r="B18" s="1">
        <v>45738</v>
      </c>
      <c r="C18" t="s">
        <v>127</v>
      </c>
      <c r="D18" t="s">
        <v>128</v>
      </c>
      <c r="E18">
        <v>38</v>
      </c>
      <c r="F18" t="s">
        <v>23</v>
      </c>
      <c r="G18" t="s">
        <v>78</v>
      </c>
      <c r="H18" t="s">
        <v>65</v>
      </c>
      <c r="I18" t="s">
        <v>38</v>
      </c>
      <c r="J18" t="s">
        <v>116</v>
      </c>
      <c r="K18" t="s">
        <v>28</v>
      </c>
      <c r="L18" t="s">
        <v>67</v>
      </c>
      <c r="M18">
        <v>3</v>
      </c>
      <c r="N18">
        <v>25000</v>
      </c>
      <c r="O18">
        <v>5</v>
      </c>
      <c r="P18" t="s">
        <v>129</v>
      </c>
      <c r="Q18" t="s">
        <v>60</v>
      </c>
      <c r="R18">
        <v>71250</v>
      </c>
      <c r="S18">
        <v>54000</v>
      </c>
      <c r="T18">
        <v>17250</v>
      </c>
    </row>
    <row r="19" spans="1:20" x14ac:dyDescent="0.3">
      <c r="A19" t="s">
        <v>130</v>
      </c>
      <c r="B19" s="1">
        <v>45730</v>
      </c>
      <c r="C19" t="s">
        <v>112</v>
      </c>
      <c r="D19" t="s">
        <v>99</v>
      </c>
      <c r="E19">
        <v>26</v>
      </c>
      <c r="F19" t="s">
        <v>23</v>
      </c>
      <c r="G19" t="s">
        <v>54</v>
      </c>
      <c r="H19" t="s">
        <v>55</v>
      </c>
      <c r="I19" t="s">
        <v>38</v>
      </c>
      <c r="J19" t="s">
        <v>100</v>
      </c>
      <c r="K19" t="s">
        <v>73</v>
      </c>
      <c r="L19" t="s">
        <v>131</v>
      </c>
      <c r="M19">
        <v>4</v>
      </c>
      <c r="N19">
        <v>2000</v>
      </c>
      <c r="O19">
        <v>10</v>
      </c>
      <c r="P19" t="s">
        <v>42</v>
      </c>
      <c r="Q19" t="s">
        <v>31</v>
      </c>
      <c r="R19">
        <v>7200</v>
      </c>
      <c r="S19">
        <v>5200</v>
      </c>
      <c r="T19">
        <v>2000</v>
      </c>
    </row>
    <row r="20" spans="1:20" x14ac:dyDescent="0.3">
      <c r="A20" t="s">
        <v>132</v>
      </c>
      <c r="B20" s="1">
        <v>45721</v>
      </c>
      <c r="C20" t="s">
        <v>133</v>
      </c>
      <c r="D20" t="s">
        <v>128</v>
      </c>
      <c r="E20">
        <v>25</v>
      </c>
      <c r="F20" t="s">
        <v>23</v>
      </c>
      <c r="G20" t="s">
        <v>46</v>
      </c>
      <c r="H20" t="s">
        <v>47</v>
      </c>
      <c r="I20" t="s">
        <v>26</v>
      </c>
      <c r="J20" t="s">
        <v>125</v>
      </c>
      <c r="K20" t="s">
        <v>57</v>
      </c>
      <c r="L20" t="s">
        <v>58</v>
      </c>
      <c r="M20">
        <v>4</v>
      </c>
      <c r="N20">
        <v>1800</v>
      </c>
      <c r="O20">
        <v>15</v>
      </c>
      <c r="P20" t="s">
        <v>129</v>
      </c>
      <c r="Q20" t="s">
        <v>86</v>
      </c>
      <c r="R20">
        <v>6120</v>
      </c>
      <c r="S20">
        <v>4000</v>
      </c>
      <c r="T20">
        <v>2120</v>
      </c>
    </row>
    <row r="21" spans="1:20" x14ac:dyDescent="0.3">
      <c r="A21" t="s">
        <v>134</v>
      </c>
      <c r="B21" s="1">
        <v>45705</v>
      </c>
      <c r="C21" t="s">
        <v>135</v>
      </c>
      <c r="D21" t="s">
        <v>136</v>
      </c>
      <c r="E21">
        <v>52</v>
      </c>
      <c r="F21" t="s">
        <v>23</v>
      </c>
      <c r="G21" t="s">
        <v>137</v>
      </c>
      <c r="H21" t="s">
        <v>37</v>
      </c>
      <c r="I21" t="s">
        <v>38</v>
      </c>
      <c r="J21" t="s">
        <v>138</v>
      </c>
      <c r="K21" t="s">
        <v>49</v>
      </c>
      <c r="L21" t="s">
        <v>50</v>
      </c>
      <c r="M21">
        <v>4</v>
      </c>
      <c r="N21">
        <v>30000</v>
      </c>
      <c r="O21">
        <v>5</v>
      </c>
      <c r="P21" t="s">
        <v>129</v>
      </c>
      <c r="Q21" t="s">
        <v>31</v>
      </c>
      <c r="R21">
        <v>114000</v>
      </c>
      <c r="S21">
        <v>88000</v>
      </c>
      <c r="T21">
        <v>26000</v>
      </c>
    </row>
    <row r="22" spans="1:20" x14ac:dyDescent="0.3">
      <c r="A22" t="s">
        <v>139</v>
      </c>
      <c r="B22" s="1">
        <v>45735</v>
      </c>
      <c r="C22" t="s">
        <v>140</v>
      </c>
      <c r="D22" t="s">
        <v>103</v>
      </c>
      <c r="E22">
        <v>24</v>
      </c>
      <c r="F22" t="s">
        <v>23</v>
      </c>
      <c r="G22" t="s">
        <v>141</v>
      </c>
      <c r="H22" t="s">
        <v>142</v>
      </c>
      <c r="I22" t="s">
        <v>38</v>
      </c>
      <c r="J22" t="s">
        <v>143</v>
      </c>
      <c r="K22" t="s">
        <v>73</v>
      </c>
      <c r="L22" t="s">
        <v>144</v>
      </c>
      <c r="M22">
        <v>3</v>
      </c>
      <c r="N22">
        <v>3500</v>
      </c>
      <c r="O22">
        <v>5</v>
      </c>
      <c r="P22" t="s">
        <v>30</v>
      </c>
      <c r="Q22" t="s">
        <v>86</v>
      </c>
      <c r="R22">
        <v>9975</v>
      </c>
      <c r="S22">
        <v>6000</v>
      </c>
      <c r="T22">
        <v>3975</v>
      </c>
    </row>
    <row r="23" spans="1:20" x14ac:dyDescent="0.3">
      <c r="A23" t="s">
        <v>145</v>
      </c>
      <c r="B23" s="1">
        <v>45709</v>
      </c>
      <c r="C23" t="s">
        <v>146</v>
      </c>
      <c r="D23" t="s">
        <v>136</v>
      </c>
      <c r="E23">
        <v>41</v>
      </c>
      <c r="F23" t="s">
        <v>23</v>
      </c>
      <c r="G23" t="s">
        <v>137</v>
      </c>
      <c r="H23" t="s">
        <v>37</v>
      </c>
      <c r="I23" t="s">
        <v>38</v>
      </c>
      <c r="J23" t="s">
        <v>147</v>
      </c>
      <c r="K23" t="s">
        <v>40</v>
      </c>
      <c r="L23" t="s">
        <v>41</v>
      </c>
      <c r="M23">
        <v>5</v>
      </c>
      <c r="N23">
        <v>3500</v>
      </c>
      <c r="O23">
        <v>0</v>
      </c>
      <c r="P23" t="s">
        <v>30</v>
      </c>
      <c r="Q23" t="s">
        <v>60</v>
      </c>
      <c r="R23">
        <v>17500</v>
      </c>
      <c r="S23">
        <v>11000</v>
      </c>
      <c r="T23">
        <v>6500</v>
      </c>
    </row>
    <row r="24" spans="1:20" x14ac:dyDescent="0.3">
      <c r="A24" t="s">
        <v>148</v>
      </c>
      <c r="B24" s="1">
        <v>45693</v>
      </c>
      <c r="C24" t="s">
        <v>149</v>
      </c>
      <c r="D24" t="s">
        <v>150</v>
      </c>
      <c r="E24">
        <v>60</v>
      </c>
      <c r="F24" t="s">
        <v>23</v>
      </c>
      <c r="G24" t="s">
        <v>151</v>
      </c>
      <c r="H24" t="s">
        <v>152</v>
      </c>
      <c r="I24" t="s">
        <v>26</v>
      </c>
      <c r="J24" t="s">
        <v>153</v>
      </c>
      <c r="K24" t="s">
        <v>49</v>
      </c>
      <c r="L24" t="s">
        <v>154</v>
      </c>
      <c r="M24">
        <v>5</v>
      </c>
      <c r="N24">
        <v>1000</v>
      </c>
      <c r="O24">
        <v>5</v>
      </c>
      <c r="P24" t="s">
        <v>59</v>
      </c>
      <c r="Q24" t="s">
        <v>60</v>
      </c>
      <c r="R24">
        <v>4750</v>
      </c>
      <c r="S24">
        <v>2500</v>
      </c>
      <c r="T24">
        <v>2250</v>
      </c>
    </row>
    <row r="25" spans="1:20" x14ac:dyDescent="0.3">
      <c r="A25" t="s">
        <v>155</v>
      </c>
      <c r="B25" s="1">
        <v>45731</v>
      </c>
      <c r="C25" t="s">
        <v>156</v>
      </c>
      <c r="D25" t="s">
        <v>157</v>
      </c>
      <c r="E25">
        <v>51</v>
      </c>
      <c r="F25" t="s">
        <v>35</v>
      </c>
      <c r="G25" t="s">
        <v>151</v>
      </c>
      <c r="H25" t="s">
        <v>152</v>
      </c>
      <c r="I25" t="s">
        <v>26</v>
      </c>
      <c r="J25" t="s">
        <v>158</v>
      </c>
      <c r="K25" t="s">
        <v>40</v>
      </c>
      <c r="L25" t="s">
        <v>80</v>
      </c>
      <c r="M25">
        <v>3</v>
      </c>
      <c r="N25">
        <v>10000</v>
      </c>
      <c r="O25">
        <v>0</v>
      </c>
      <c r="P25" t="s">
        <v>42</v>
      </c>
      <c r="Q25" t="s">
        <v>86</v>
      </c>
      <c r="R25">
        <v>30000</v>
      </c>
      <c r="S25">
        <v>21000</v>
      </c>
      <c r="T25">
        <v>9000</v>
      </c>
    </row>
    <row r="26" spans="1:20" x14ac:dyDescent="0.3">
      <c r="A26" t="s">
        <v>159</v>
      </c>
      <c r="B26" s="1">
        <v>45703</v>
      </c>
      <c r="C26" t="s">
        <v>160</v>
      </c>
      <c r="D26" t="s">
        <v>128</v>
      </c>
      <c r="E26">
        <v>32</v>
      </c>
      <c r="F26" t="s">
        <v>23</v>
      </c>
      <c r="G26" t="s">
        <v>36</v>
      </c>
      <c r="H26" t="s">
        <v>37</v>
      </c>
      <c r="I26" t="s">
        <v>26</v>
      </c>
      <c r="J26" t="s">
        <v>161</v>
      </c>
      <c r="K26" t="s">
        <v>49</v>
      </c>
      <c r="L26" t="s">
        <v>50</v>
      </c>
      <c r="M26">
        <v>2</v>
      </c>
      <c r="N26">
        <v>30000</v>
      </c>
      <c r="O26">
        <v>10</v>
      </c>
      <c r="P26" t="s">
        <v>129</v>
      </c>
      <c r="Q26" t="s">
        <v>31</v>
      </c>
      <c r="R26">
        <v>54000</v>
      </c>
      <c r="S26">
        <v>44000</v>
      </c>
      <c r="T26">
        <v>10000</v>
      </c>
    </row>
    <row r="27" spans="1:20" x14ac:dyDescent="0.3">
      <c r="A27" t="s">
        <v>162</v>
      </c>
      <c r="B27" s="1">
        <v>45723</v>
      </c>
      <c r="C27" t="s">
        <v>163</v>
      </c>
      <c r="D27" t="s">
        <v>164</v>
      </c>
      <c r="E27">
        <v>48</v>
      </c>
      <c r="F27" t="s">
        <v>35</v>
      </c>
      <c r="G27" t="s">
        <v>137</v>
      </c>
      <c r="H27" t="s">
        <v>37</v>
      </c>
      <c r="I27" t="s">
        <v>38</v>
      </c>
      <c r="J27" t="s">
        <v>165</v>
      </c>
      <c r="K27" t="s">
        <v>40</v>
      </c>
      <c r="L27" t="s">
        <v>41</v>
      </c>
      <c r="M27">
        <v>4</v>
      </c>
      <c r="N27">
        <v>3500</v>
      </c>
      <c r="O27">
        <v>10</v>
      </c>
      <c r="P27" t="s">
        <v>129</v>
      </c>
      <c r="Q27" t="s">
        <v>60</v>
      </c>
      <c r="R27">
        <v>12600</v>
      </c>
      <c r="S27">
        <v>8800</v>
      </c>
      <c r="T27">
        <v>3800</v>
      </c>
    </row>
    <row r="28" spans="1:20" x14ac:dyDescent="0.3">
      <c r="A28" t="s">
        <v>166</v>
      </c>
      <c r="B28" s="1">
        <v>45718</v>
      </c>
      <c r="C28" t="s">
        <v>167</v>
      </c>
      <c r="D28" t="s">
        <v>128</v>
      </c>
      <c r="E28">
        <v>43</v>
      </c>
      <c r="F28" t="s">
        <v>23</v>
      </c>
      <c r="G28" t="s">
        <v>104</v>
      </c>
      <c r="H28" t="s">
        <v>105</v>
      </c>
      <c r="I28" t="s">
        <v>38</v>
      </c>
      <c r="J28" t="s">
        <v>168</v>
      </c>
      <c r="K28" t="s">
        <v>28</v>
      </c>
      <c r="L28" t="s">
        <v>67</v>
      </c>
      <c r="M28">
        <v>2</v>
      </c>
      <c r="N28">
        <v>25000</v>
      </c>
      <c r="O28">
        <v>15</v>
      </c>
      <c r="P28" t="s">
        <v>129</v>
      </c>
      <c r="Q28" t="s">
        <v>31</v>
      </c>
      <c r="R28">
        <v>42500</v>
      </c>
      <c r="S28">
        <v>36000</v>
      </c>
      <c r="T28">
        <v>6500</v>
      </c>
    </row>
    <row r="29" spans="1:20" x14ac:dyDescent="0.3">
      <c r="A29" t="s">
        <v>169</v>
      </c>
      <c r="B29" s="1">
        <v>45716</v>
      </c>
      <c r="C29" t="s">
        <v>170</v>
      </c>
      <c r="D29" t="s">
        <v>157</v>
      </c>
      <c r="E29">
        <v>33</v>
      </c>
      <c r="F29" t="s">
        <v>35</v>
      </c>
      <c r="G29" t="s">
        <v>36</v>
      </c>
      <c r="H29" t="s">
        <v>37</v>
      </c>
      <c r="I29" t="s">
        <v>38</v>
      </c>
      <c r="J29" t="s">
        <v>171</v>
      </c>
      <c r="K29" t="s">
        <v>73</v>
      </c>
      <c r="L29" t="s">
        <v>74</v>
      </c>
      <c r="M29">
        <v>5</v>
      </c>
      <c r="N29">
        <v>1500</v>
      </c>
      <c r="O29">
        <v>0</v>
      </c>
      <c r="P29" t="s">
        <v>30</v>
      </c>
      <c r="Q29" t="s">
        <v>31</v>
      </c>
      <c r="R29">
        <v>7500</v>
      </c>
      <c r="S29">
        <v>4500</v>
      </c>
      <c r="T29">
        <v>3000</v>
      </c>
    </row>
    <row r="30" spans="1:20" x14ac:dyDescent="0.3">
      <c r="A30" t="s">
        <v>172</v>
      </c>
      <c r="B30" s="1">
        <v>45699</v>
      </c>
      <c r="C30" t="s">
        <v>173</v>
      </c>
      <c r="D30" t="s">
        <v>157</v>
      </c>
      <c r="E30">
        <v>31</v>
      </c>
      <c r="F30" t="s">
        <v>35</v>
      </c>
      <c r="G30" t="s">
        <v>78</v>
      </c>
      <c r="H30" t="s">
        <v>65</v>
      </c>
      <c r="I30" t="s">
        <v>26</v>
      </c>
      <c r="J30" t="s">
        <v>174</v>
      </c>
      <c r="K30" t="s">
        <v>40</v>
      </c>
      <c r="L30" t="s">
        <v>106</v>
      </c>
      <c r="M30">
        <v>4</v>
      </c>
      <c r="N30">
        <v>1500</v>
      </c>
      <c r="O30">
        <v>10</v>
      </c>
      <c r="P30" t="s">
        <v>129</v>
      </c>
      <c r="Q30" t="s">
        <v>31</v>
      </c>
      <c r="R30">
        <v>5400</v>
      </c>
      <c r="S30">
        <v>3600</v>
      </c>
      <c r="T30">
        <v>1800</v>
      </c>
    </row>
    <row r="31" spans="1:20" x14ac:dyDescent="0.3">
      <c r="A31" t="s">
        <v>175</v>
      </c>
      <c r="B31" s="1">
        <v>45716</v>
      </c>
      <c r="C31" t="s">
        <v>176</v>
      </c>
      <c r="D31" t="s">
        <v>177</v>
      </c>
      <c r="E31">
        <v>30</v>
      </c>
      <c r="F31" t="s">
        <v>35</v>
      </c>
      <c r="G31" t="s">
        <v>64</v>
      </c>
      <c r="H31" t="s">
        <v>65</v>
      </c>
      <c r="I31" t="s">
        <v>26</v>
      </c>
      <c r="J31" t="s">
        <v>178</v>
      </c>
      <c r="K31" t="s">
        <v>28</v>
      </c>
      <c r="L31" t="s">
        <v>29</v>
      </c>
      <c r="M31">
        <v>1</v>
      </c>
      <c r="N31">
        <v>55000</v>
      </c>
      <c r="O31">
        <v>0</v>
      </c>
      <c r="P31" t="s">
        <v>129</v>
      </c>
      <c r="Q31" t="s">
        <v>86</v>
      </c>
      <c r="R31">
        <v>55000</v>
      </c>
      <c r="S31">
        <v>42000</v>
      </c>
      <c r="T31">
        <v>13000</v>
      </c>
    </row>
    <row r="32" spans="1:20" x14ac:dyDescent="0.3">
      <c r="A32" t="s">
        <v>179</v>
      </c>
      <c r="B32" s="1">
        <v>45722</v>
      </c>
      <c r="C32" t="s">
        <v>180</v>
      </c>
      <c r="D32" t="s">
        <v>103</v>
      </c>
      <c r="E32">
        <v>23</v>
      </c>
      <c r="F32" t="s">
        <v>23</v>
      </c>
      <c r="G32" t="s">
        <v>46</v>
      </c>
      <c r="H32" t="s">
        <v>47</v>
      </c>
      <c r="I32" t="s">
        <v>26</v>
      </c>
      <c r="J32" t="s">
        <v>147</v>
      </c>
      <c r="K32" t="s">
        <v>73</v>
      </c>
      <c r="L32" t="s">
        <v>74</v>
      </c>
      <c r="M32">
        <v>4</v>
      </c>
      <c r="N32">
        <v>1500</v>
      </c>
      <c r="O32">
        <v>0</v>
      </c>
      <c r="P32" t="s">
        <v>42</v>
      </c>
      <c r="Q32" t="s">
        <v>86</v>
      </c>
      <c r="R32">
        <v>6000</v>
      </c>
      <c r="S32">
        <v>3600</v>
      </c>
      <c r="T32">
        <v>2400</v>
      </c>
    </row>
    <row r="33" spans="1:20" x14ac:dyDescent="0.3">
      <c r="A33" t="s">
        <v>181</v>
      </c>
      <c r="B33" s="1">
        <v>45727</v>
      </c>
      <c r="C33" t="s">
        <v>182</v>
      </c>
      <c r="D33" t="s">
        <v>113</v>
      </c>
      <c r="E33">
        <v>60</v>
      </c>
      <c r="F33" t="s">
        <v>23</v>
      </c>
      <c r="G33" t="s">
        <v>183</v>
      </c>
      <c r="H33" t="s">
        <v>184</v>
      </c>
      <c r="I33" t="s">
        <v>38</v>
      </c>
      <c r="J33" t="s">
        <v>178</v>
      </c>
      <c r="K33" t="s">
        <v>49</v>
      </c>
      <c r="L33" t="s">
        <v>85</v>
      </c>
      <c r="M33">
        <v>2</v>
      </c>
      <c r="N33">
        <v>5000</v>
      </c>
      <c r="O33">
        <v>10</v>
      </c>
      <c r="P33" t="s">
        <v>129</v>
      </c>
      <c r="Q33" t="s">
        <v>31</v>
      </c>
      <c r="R33">
        <v>9000</v>
      </c>
      <c r="S33">
        <v>6400</v>
      </c>
      <c r="T33">
        <v>2600</v>
      </c>
    </row>
    <row r="34" spans="1:20" x14ac:dyDescent="0.3">
      <c r="A34" t="s">
        <v>185</v>
      </c>
      <c r="B34" s="1">
        <v>45731</v>
      </c>
      <c r="C34" t="s">
        <v>186</v>
      </c>
      <c r="D34" t="s">
        <v>157</v>
      </c>
      <c r="E34">
        <v>38</v>
      </c>
      <c r="F34" t="s">
        <v>35</v>
      </c>
      <c r="G34" t="s">
        <v>137</v>
      </c>
      <c r="H34" t="s">
        <v>37</v>
      </c>
      <c r="I34" t="s">
        <v>26</v>
      </c>
      <c r="J34" t="s">
        <v>187</v>
      </c>
      <c r="K34" t="s">
        <v>28</v>
      </c>
      <c r="L34" t="s">
        <v>188</v>
      </c>
      <c r="M34">
        <v>5</v>
      </c>
      <c r="N34">
        <v>8000</v>
      </c>
      <c r="O34">
        <v>0</v>
      </c>
      <c r="P34" t="s">
        <v>30</v>
      </c>
      <c r="Q34" t="s">
        <v>86</v>
      </c>
      <c r="R34">
        <v>40000</v>
      </c>
      <c r="S34">
        <v>27500</v>
      </c>
      <c r="T34">
        <v>12500</v>
      </c>
    </row>
    <row r="35" spans="1:20" x14ac:dyDescent="0.3">
      <c r="A35" t="s">
        <v>189</v>
      </c>
      <c r="B35" s="1">
        <v>45702</v>
      </c>
      <c r="C35" t="s">
        <v>190</v>
      </c>
      <c r="D35" t="s">
        <v>177</v>
      </c>
      <c r="E35">
        <v>40</v>
      </c>
      <c r="F35" t="s">
        <v>35</v>
      </c>
      <c r="G35" t="s">
        <v>36</v>
      </c>
      <c r="H35" t="s">
        <v>37</v>
      </c>
      <c r="I35" t="s">
        <v>26</v>
      </c>
      <c r="J35" t="s">
        <v>120</v>
      </c>
      <c r="K35" t="s">
        <v>49</v>
      </c>
      <c r="L35" t="s">
        <v>191</v>
      </c>
      <c r="M35">
        <v>4</v>
      </c>
      <c r="N35">
        <v>2000</v>
      </c>
      <c r="O35">
        <v>15</v>
      </c>
      <c r="P35" t="s">
        <v>59</v>
      </c>
      <c r="Q35" t="s">
        <v>86</v>
      </c>
      <c r="R35">
        <v>6800</v>
      </c>
      <c r="S35">
        <v>4800</v>
      </c>
      <c r="T35">
        <v>2000</v>
      </c>
    </row>
    <row r="36" spans="1:20" x14ac:dyDescent="0.3">
      <c r="A36" t="s">
        <v>192</v>
      </c>
      <c r="B36" s="1">
        <v>45730</v>
      </c>
      <c r="C36" t="s">
        <v>193</v>
      </c>
      <c r="D36" t="s">
        <v>103</v>
      </c>
      <c r="E36">
        <v>37</v>
      </c>
      <c r="F36" t="s">
        <v>23</v>
      </c>
      <c r="G36" t="s">
        <v>141</v>
      </c>
      <c r="H36" t="s">
        <v>142</v>
      </c>
      <c r="I36" t="s">
        <v>26</v>
      </c>
      <c r="J36" t="s">
        <v>194</v>
      </c>
      <c r="K36" t="s">
        <v>40</v>
      </c>
      <c r="L36" t="s">
        <v>195</v>
      </c>
      <c r="M36">
        <v>1</v>
      </c>
      <c r="N36">
        <v>25000</v>
      </c>
      <c r="O36">
        <v>15</v>
      </c>
      <c r="P36" t="s">
        <v>42</v>
      </c>
      <c r="Q36" t="s">
        <v>31</v>
      </c>
      <c r="R36">
        <v>21250</v>
      </c>
      <c r="S36">
        <v>18000</v>
      </c>
      <c r="T36">
        <v>3250</v>
      </c>
    </row>
    <row r="37" spans="1:20" x14ac:dyDescent="0.3">
      <c r="A37" t="s">
        <v>196</v>
      </c>
      <c r="B37" s="1">
        <v>45707</v>
      </c>
      <c r="C37" t="s">
        <v>197</v>
      </c>
      <c r="D37" t="s">
        <v>198</v>
      </c>
      <c r="E37">
        <v>31</v>
      </c>
      <c r="F37" t="s">
        <v>23</v>
      </c>
      <c r="G37" t="s">
        <v>141</v>
      </c>
      <c r="H37" t="s">
        <v>142</v>
      </c>
      <c r="I37" t="s">
        <v>38</v>
      </c>
      <c r="J37" t="s">
        <v>199</v>
      </c>
      <c r="K37" t="s">
        <v>73</v>
      </c>
      <c r="L37" t="s">
        <v>131</v>
      </c>
      <c r="M37">
        <v>1</v>
      </c>
      <c r="N37">
        <v>2000</v>
      </c>
      <c r="O37">
        <v>0</v>
      </c>
      <c r="P37" t="s">
        <v>129</v>
      </c>
      <c r="Q37" t="s">
        <v>31</v>
      </c>
      <c r="R37">
        <v>2000</v>
      </c>
      <c r="S37">
        <v>1300</v>
      </c>
      <c r="T37">
        <v>700</v>
      </c>
    </row>
    <row r="38" spans="1:20" x14ac:dyDescent="0.3">
      <c r="A38" t="s">
        <v>200</v>
      </c>
      <c r="B38" s="1">
        <v>45691</v>
      </c>
      <c r="C38" t="s">
        <v>160</v>
      </c>
      <c r="D38" t="s">
        <v>177</v>
      </c>
      <c r="E38">
        <v>58</v>
      </c>
      <c r="F38" t="s">
        <v>35</v>
      </c>
      <c r="G38" t="s">
        <v>64</v>
      </c>
      <c r="H38" t="s">
        <v>65</v>
      </c>
      <c r="I38" t="s">
        <v>26</v>
      </c>
      <c r="J38" t="s">
        <v>201</v>
      </c>
      <c r="K38" t="s">
        <v>57</v>
      </c>
      <c r="L38" t="s">
        <v>202</v>
      </c>
      <c r="M38">
        <v>1</v>
      </c>
      <c r="N38">
        <v>4000</v>
      </c>
      <c r="O38">
        <v>0</v>
      </c>
      <c r="P38" t="s">
        <v>30</v>
      </c>
      <c r="Q38" t="s">
        <v>31</v>
      </c>
      <c r="R38">
        <v>4000</v>
      </c>
      <c r="S38">
        <v>2600</v>
      </c>
      <c r="T38">
        <v>1400</v>
      </c>
    </row>
    <row r="39" spans="1:20" x14ac:dyDescent="0.3">
      <c r="A39" t="s">
        <v>203</v>
      </c>
      <c r="B39" s="1">
        <v>45723</v>
      </c>
      <c r="C39" t="s">
        <v>204</v>
      </c>
      <c r="D39" t="s">
        <v>205</v>
      </c>
      <c r="E39">
        <v>53</v>
      </c>
      <c r="F39" t="s">
        <v>35</v>
      </c>
      <c r="G39" t="s">
        <v>46</v>
      </c>
      <c r="H39" t="s">
        <v>47</v>
      </c>
      <c r="I39" t="s">
        <v>38</v>
      </c>
      <c r="J39" t="s">
        <v>206</v>
      </c>
      <c r="K39" t="s">
        <v>40</v>
      </c>
      <c r="L39" t="s">
        <v>41</v>
      </c>
      <c r="M39">
        <v>3</v>
      </c>
      <c r="N39">
        <v>3500</v>
      </c>
      <c r="O39">
        <v>0</v>
      </c>
      <c r="P39" t="s">
        <v>59</v>
      </c>
      <c r="Q39" t="s">
        <v>31</v>
      </c>
      <c r="R39">
        <v>10500</v>
      </c>
      <c r="S39">
        <v>6600</v>
      </c>
      <c r="T39">
        <v>3900</v>
      </c>
    </row>
    <row r="40" spans="1:20" x14ac:dyDescent="0.3">
      <c r="A40" t="s">
        <v>207</v>
      </c>
      <c r="B40" s="1">
        <v>45732</v>
      </c>
      <c r="C40" t="s">
        <v>208</v>
      </c>
      <c r="D40" t="s">
        <v>198</v>
      </c>
      <c r="E40">
        <v>53</v>
      </c>
      <c r="F40" t="s">
        <v>23</v>
      </c>
      <c r="G40" t="s">
        <v>78</v>
      </c>
      <c r="H40" t="s">
        <v>65</v>
      </c>
      <c r="I40" t="s">
        <v>26</v>
      </c>
      <c r="J40" t="s">
        <v>209</v>
      </c>
      <c r="K40" t="s">
        <v>40</v>
      </c>
      <c r="L40" t="s">
        <v>80</v>
      </c>
      <c r="M40">
        <v>4</v>
      </c>
      <c r="N40">
        <v>10000</v>
      </c>
      <c r="O40">
        <v>0</v>
      </c>
      <c r="P40" t="s">
        <v>42</v>
      </c>
      <c r="Q40" t="s">
        <v>31</v>
      </c>
      <c r="R40">
        <v>40000</v>
      </c>
      <c r="S40">
        <v>28000</v>
      </c>
      <c r="T40">
        <v>12000</v>
      </c>
    </row>
    <row r="41" spans="1:20" x14ac:dyDescent="0.3">
      <c r="A41" t="s">
        <v>210</v>
      </c>
      <c r="B41" s="1">
        <v>45739</v>
      </c>
      <c r="C41" t="s">
        <v>173</v>
      </c>
      <c r="D41" t="s">
        <v>99</v>
      </c>
      <c r="E41">
        <v>28</v>
      </c>
      <c r="F41" t="s">
        <v>23</v>
      </c>
      <c r="G41" t="s">
        <v>137</v>
      </c>
      <c r="H41" t="s">
        <v>37</v>
      </c>
      <c r="I41" t="s">
        <v>26</v>
      </c>
      <c r="J41" t="s">
        <v>211</v>
      </c>
      <c r="K41" t="s">
        <v>57</v>
      </c>
      <c r="L41" t="s">
        <v>58</v>
      </c>
      <c r="M41">
        <v>2</v>
      </c>
      <c r="N41">
        <v>1800</v>
      </c>
      <c r="O41">
        <v>5</v>
      </c>
      <c r="P41" t="s">
        <v>129</v>
      </c>
      <c r="Q41" t="s">
        <v>31</v>
      </c>
      <c r="R41">
        <v>3420</v>
      </c>
      <c r="S41">
        <v>2000</v>
      </c>
      <c r="T41">
        <v>1420</v>
      </c>
    </row>
    <row r="42" spans="1:20" x14ac:dyDescent="0.3">
      <c r="A42" t="s">
        <v>212</v>
      </c>
      <c r="B42" s="1">
        <v>45708</v>
      </c>
      <c r="C42" t="s">
        <v>102</v>
      </c>
      <c r="D42" t="s">
        <v>128</v>
      </c>
      <c r="E42">
        <v>60</v>
      </c>
      <c r="F42" t="s">
        <v>23</v>
      </c>
      <c r="G42" t="s">
        <v>54</v>
      </c>
      <c r="H42" t="s">
        <v>55</v>
      </c>
      <c r="I42" t="s">
        <v>38</v>
      </c>
      <c r="J42" t="s">
        <v>158</v>
      </c>
      <c r="K42" t="s">
        <v>49</v>
      </c>
      <c r="L42" t="s">
        <v>191</v>
      </c>
      <c r="M42">
        <v>3</v>
      </c>
      <c r="N42">
        <v>2000</v>
      </c>
      <c r="O42">
        <v>10</v>
      </c>
      <c r="P42" t="s">
        <v>129</v>
      </c>
      <c r="Q42" t="s">
        <v>86</v>
      </c>
      <c r="R42">
        <v>5400</v>
      </c>
      <c r="S42">
        <v>3600</v>
      </c>
      <c r="T42">
        <v>1800</v>
      </c>
    </row>
    <row r="43" spans="1:20" x14ac:dyDescent="0.3">
      <c r="A43" t="s">
        <v>213</v>
      </c>
      <c r="B43" s="1">
        <v>45710</v>
      </c>
      <c r="C43" t="s">
        <v>214</v>
      </c>
      <c r="D43" t="s">
        <v>99</v>
      </c>
      <c r="E43">
        <v>29</v>
      </c>
      <c r="F43" t="s">
        <v>23</v>
      </c>
      <c r="G43" t="s">
        <v>183</v>
      </c>
      <c r="H43" t="s">
        <v>184</v>
      </c>
      <c r="I43" t="s">
        <v>38</v>
      </c>
      <c r="J43" t="s">
        <v>215</v>
      </c>
      <c r="K43" t="s">
        <v>28</v>
      </c>
      <c r="L43" t="s">
        <v>29</v>
      </c>
      <c r="M43">
        <v>4</v>
      </c>
      <c r="N43">
        <v>55000</v>
      </c>
      <c r="O43">
        <v>10</v>
      </c>
      <c r="P43" t="s">
        <v>59</v>
      </c>
      <c r="Q43" t="s">
        <v>60</v>
      </c>
      <c r="R43">
        <v>198000</v>
      </c>
      <c r="S43">
        <v>168000</v>
      </c>
      <c r="T43">
        <v>30000</v>
      </c>
    </row>
    <row r="44" spans="1:20" x14ac:dyDescent="0.3">
      <c r="A44" t="s">
        <v>216</v>
      </c>
      <c r="B44" s="1">
        <v>45727</v>
      </c>
      <c r="C44" t="s">
        <v>217</v>
      </c>
      <c r="D44" t="s">
        <v>113</v>
      </c>
      <c r="E44">
        <v>54</v>
      </c>
      <c r="F44" t="s">
        <v>23</v>
      </c>
      <c r="G44" t="s">
        <v>54</v>
      </c>
      <c r="H44" t="s">
        <v>55</v>
      </c>
      <c r="I44" t="s">
        <v>38</v>
      </c>
      <c r="J44" t="s">
        <v>174</v>
      </c>
      <c r="K44" t="s">
        <v>28</v>
      </c>
      <c r="L44" t="s">
        <v>188</v>
      </c>
      <c r="M44">
        <v>5</v>
      </c>
      <c r="N44">
        <v>8000</v>
      </c>
      <c r="O44">
        <v>15</v>
      </c>
      <c r="P44" t="s">
        <v>42</v>
      </c>
      <c r="Q44" t="s">
        <v>31</v>
      </c>
      <c r="R44">
        <v>34000</v>
      </c>
      <c r="S44">
        <v>27500</v>
      </c>
      <c r="T44">
        <v>6500</v>
      </c>
    </row>
    <row r="45" spans="1:20" x14ac:dyDescent="0.3">
      <c r="A45" t="s">
        <v>218</v>
      </c>
      <c r="B45" s="1">
        <v>45716</v>
      </c>
      <c r="C45" t="s">
        <v>219</v>
      </c>
      <c r="D45" t="s">
        <v>205</v>
      </c>
      <c r="E45">
        <v>38</v>
      </c>
      <c r="F45" t="s">
        <v>35</v>
      </c>
      <c r="G45" t="s">
        <v>141</v>
      </c>
      <c r="H45" t="s">
        <v>142</v>
      </c>
      <c r="I45" t="s">
        <v>26</v>
      </c>
      <c r="J45" t="s">
        <v>220</v>
      </c>
      <c r="K45" t="s">
        <v>49</v>
      </c>
      <c r="L45" t="s">
        <v>191</v>
      </c>
      <c r="M45">
        <v>3</v>
      </c>
      <c r="N45">
        <v>2000</v>
      </c>
      <c r="O45">
        <v>12</v>
      </c>
      <c r="P45" t="s">
        <v>59</v>
      </c>
      <c r="Q45" t="s">
        <v>86</v>
      </c>
      <c r="R45">
        <v>5280</v>
      </c>
      <c r="S45">
        <v>3600</v>
      </c>
      <c r="T45">
        <v>1680</v>
      </c>
    </row>
    <row r="46" spans="1:20" x14ac:dyDescent="0.3">
      <c r="A46" t="s">
        <v>221</v>
      </c>
      <c r="B46" s="1">
        <v>45697</v>
      </c>
      <c r="C46" t="s">
        <v>222</v>
      </c>
      <c r="D46" t="s">
        <v>223</v>
      </c>
      <c r="E46">
        <v>29</v>
      </c>
      <c r="F46" t="s">
        <v>35</v>
      </c>
      <c r="G46" t="s">
        <v>183</v>
      </c>
      <c r="H46" t="s">
        <v>184</v>
      </c>
      <c r="I46" t="s">
        <v>38</v>
      </c>
      <c r="J46" t="s">
        <v>206</v>
      </c>
      <c r="K46" t="s">
        <v>57</v>
      </c>
      <c r="L46" t="s">
        <v>58</v>
      </c>
      <c r="M46">
        <v>3</v>
      </c>
      <c r="N46">
        <v>1800</v>
      </c>
      <c r="O46">
        <v>5</v>
      </c>
      <c r="P46" t="s">
        <v>129</v>
      </c>
      <c r="Q46" t="s">
        <v>86</v>
      </c>
      <c r="R46">
        <v>5130</v>
      </c>
      <c r="S46">
        <v>3000</v>
      </c>
      <c r="T46">
        <v>2130</v>
      </c>
    </row>
    <row r="47" spans="1:20" x14ac:dyDescent="0.3">
      <c r="A47" t="s">
        <v>224</v>
      </c>
      <c r="B47" s="1">
        <v>45727</v>
      </c>
      <c r="C47" t="s">
        <v>156</v>
      </c>
      <c r="D47" t="s">
        <v>157</v>
      </c>
      <c r="E47">
        <v>46</v>
      </c>
      <c r="F47" t="s">
        <v>35</v>
      </c>
      <c r="G47" t="s">
        <v>151</v>
      </c>
      <c r="H47" t="s">
        <v>152</v>
      </c>
      <c r="I47" t="s">
        <v>26</v>
      </c>
      <c r="J47" t="s">
        <v>120</v>
      </c>
      <c r="K47" t="s">
        <v>73</v>
      </c>
      <c r="L47" t="s">
        <v>131</v>
      </c>
      <c r="M47">
        <v>1</v>
      </c>
      <c r="N47">
        <v>2000</v>
      </c>
      <c r="O47">
        <v>10</v>
      </c>
      <c r="P47" t="s">
        <v>59</v>
      </c>
      <c r="Q47" t="s">
        <v>31</v>
      </c>
      <c r="R47">
        <v>1800</v>
      </c>
      <c r="S47">
        <v>1300</v>
      </c>
      <c r="T47">
        <v>500</v>
      </c>
    </row>
    <row r="48" spans="1:20" x14ac:dyDescent="0.3">
      <c r="A48" t="s">
        <v>225</v>
      </c>
      <c r="B48" s="1">
        <v>45737</v>
      </c>
      <c r="C48" t="s">
        <v>226</v>
      </c>
      <c r="D48" t="s">
        <v>164</v>
      </c>
      <c r="E48">
        <v>30</v>
      </c>
      <c r="F48" t="s">
        <v>35</v>
      </c>
      <c r="G48" t="s">
        <v>46</v>
      </c>
      <c r="H48" t="s">
        <v>47</v>
      </c>
      <c r="I48" t="s">
        <v>26</v>
      </c>
      <c r="J48" t="s">
        <v>211</v>
      </c>
      <c r="K48" t="s">
        <v>28</v>
      </c>
      <c r="L48" t="s">
        <v>67</v>
      </c>
      <c r="M48">
        <v>5</v>
      </c>
      <c r="N48">
        <v>25000</v>
      </c>
      <c r="O48">
        <v>0</v>
      </c>
      <c r="P48" t="s">
        <v>129</v>
      </c>
      <c r="Q48" t="s">
        <v>60</v>
      </c>
      <c r="R48">
        <v>125000</v>
      </c>
      <c r="S48">
        <v>90000</v>
      </c>
      <c r="T48">
        <v>35000</v>
      </c>
    </row>
    <row r="49" spans="1:20" x14ac:dyDescent="0.3">
      <c r="A49" t="s">
        <v>227</v>
      </c>
      <c r="B49" s="1">
        <v>45729</v>
      </c>
      <c r="C49" t="s">
        <v>228</v>
      </c>
      <c r="D49" t="s">
        <v>113</v>
      </c>
      <c r="E49">
        <v>49</v>
      </c>
      <c r="F49" t="s">
        <v>23</v>
      </c>
      <c r="G49" t="s">
        <v>78</v>
      </c>
      <c r="H49" t="s">
        <v>65</v>
      </c>
      <c r="I49" t="s">
        <v>26</v>
      </c>
      <c r="J49" t="s">
        <v>165</v>
      </c>
      <c r="K49" t="s">
        <v>40</v>
      </c>
      <c r="L49" t="s">
        <v>41</v>
      </c>
      <c r="M49">
        <v>4</v>
      </c>
      <c r="N49">
        <v>3500</v>
      </c>
      <c r="O49">
        <v>5</v>
      </c>
      <c r="P49" t="s">
        <v>42</v>
      </c>
      <c r="Q49" t="s">
        <v>86</v>
      </c>
      <c r="R49">
        <v>13300</v>
      </c>
      <c r="S49">
        <v>8800</v>
      </c>
      <c r="T49">
        <v>4500</v>
      </c>
    </row>
    <row r="50" spans="1:20" x14ac:dyDescent="0.3">
      <c r="A50" t="s">
        <v>229</v>
      </c>
      <c r="B50" s="1">
        <v>45718</v>
      </c>
      <c r="C50" t="s">
        <v>167</v>
      </c>
      <c r="D50" t="s">
        <v>136</v>
      </c>
      <c r="E50">
        <v>47</v>
      </c>
      <c r="F50" t="s">
        <v>23</v>
      </c>
      <c r="G50" t="s">
        <v>46</v>
      </c>
      <c r="H50" t="s">
        <v>47</v>
      </c>
      <c r="I50" t="s">
        <v>38</v>
      </c>
      <c r="J50" t="s">
        <v>230</v>
      </c>
      <c r="K50" t="s">
        <v>73</v>
      </c>
      <c r="L50" t="s">
        <v>117</v>
      </c>
      <c r="M50">
        <v>5</v>
      </c>
      <c r="N50">
        <v>2500</v>
      </c>
      <c r="O50">
        <v>15</v>
      </c>
      <c r="P50" t="s">
        <v>129</v>
      </c>
      <c r="Q50" t="s">
        <v>86</v>
      </c>
      <c r="R50">
        <v>10625</v>
      </c>
      <c r="S50">
        <v>8000</v>
      </c>
      <c r="T50">
        <v>2625</v>
      </c>
    </row>
    <row r="51" spans="1:20" x14ac:dyDescent="0.3">
      <c r="A51" t="s">
        <v>231</v>
      </c>
      <c r="B51" s="1">
        <v>45717</v>
      </c>
      <c r="C51" t="s">
        <v>180</v>
      </c>
      <c r="D51" t="s">
        <v>157</v>
      </c>
      <c r="E51">
        <v>34</v>
      </c>
      <c r="F51" t="s">
        <v>35</v>
      </c>
      <c r="G51" t="s">
        <v>137</v>
      </c>
      <c r="H51" t="s">
        <v>37</v>
      </c>
      <c r="I51" t="s">
        <v>26</v>
      </c>
      <c r="J51" t="s">
        <v>147</v>
      </c>
      <c r="K51" t="s">
        <v>49</v>
      </c>
      <c r="L51" t="s">
        <v>154</v>
      </c>
      <c r="M51">
        <v>3</v>
      </c>
      <c r="N51">
        <v>1000</v>
      </c>
      <c r="O51">
        <v>12</v>
      </c>
      <c r="P51" t="s">
        <v>30</v>
      </c>
      <c r="Q51" t="s">
        <v>31</v>
      </c>
      <c r="R51">
        <v>2640</v>
      </c>
      <c r="S51">
        <v>1500</v>
      </c>
      <c r="T51">
        <v>1140</v>
      </c>
    </row>
    <row r="52" spans="1:20" x14ac:dyDescent="0.3">
      <c r="A52" t="s">
        <v>232</v>
      </c>
      <c r="B52" s="1">
        <v>45704</v>
      </c>
      <c r="C52" t="s">
        <v>233</v>
      </c>
      <c r="D52" t="s">
        <v>234</v>
      </c>
      <c r="E52">
        <v>52</v>
      </c>
      <c r="F52" t="s">
        <v>35</v>
      </c>
      <c r="G52" t="s">
        <v>36</v>
      </c>
      <c r="H52" t="s">
        <v>37</v>
      </c>
      <c r="I52" t="s">
        <v>26</v>
      </c>
      <c r="J52" t="s">
        <v>125</v>
      </c>
      <c r="K52" t="s">
        <v>40</v>
      </c>
      <c r="L52" t="s">
        <v>80</v>
      </c>
      <c r="M52">
        <v>2</v>
      </c>
      <c r="N52">
        <v>10000</v>
      </c>
      <c r="O52">
        <v>5</v>
      </c>
      <c r="P52" t="s">
        <v>30</v>
      </c>
      <c r="Q52" t="s">
        <v>60</v>
      </c>
      <c r="R52">
        <v>19000</v>
      </c>
      <c r="S52">
        <v>14000</v>
      </c>
      <c r="T52">
        <v>5000</v>
      </c>
    </row>
    <row r="53" spans="1:20" x14ac:dyDescent="0.3">
      <c r="A53" t="s">
        <v>235</v>
      </c>
      <c r="B53" s="1">
        <v>45715</v>
      </c>
      <c r="C53" t="s">
        <v>236</v>
      </c>
      <c r="D53" t="s">
        <v>223</v>
      </c>
      <c r="E53">
        <v>21</v>
      </c>
      <c r="F53" t="s">
        <v>35</v>
      </c>
      <c r="G53" t="s">
        <v>54</v>
      </c>
      <c r="H53" t="s">
        <v>55</v>
      </c>
      <c r="I53" t="s">
        <v>38</v>
      </c>
      <c r="J53" t="s">
        <v>116</v>
      </c>
      <c r="K53" t="s">
        <v>57</v>
      </c>
      <c r="L53" t="s">
        <v>58</v>
      </c>
      <c r="M53">
        <v>4</v>
      </c>
      <c r="N53">
        <v>1800</v>
      </c>
      <c r="O53">
        <v>12</v>
      </c>
      <c r="P53" t="s">
        <v>30</v>
      </c>
      <c r="Q53" t="s">
        <v>31</v>
      </c>
      <c r="R53">
        <v>6336</v>
      </c>
      <c r="S53">
        <v>4000</v>
      </c>
      <c r="T53">
        <v>2336</v>
      </c>
    </row>
    <row r="54" spans="1:20" x14ac:dyDescent="0.3">
      <c r="A54" t="s">
        <v>237</v>
      </c>
      <c r="B54" s="1">
        <v>45708</v>
      </c>
      <c r="C54" t="s">
        <v>238</v>
      </c>
      <c r="D54" t="s">
        <v>83</v>
      </c>
      <c r="E54">
        <v>52</v>
      </c>
      <c r="F54" t="s">
        <v>35</v>
      </c>
      <c r="G54" t="s">
        <v>137</v>
      </c>
      <c r="H54" t="s">
        <v>37</v>
      </c>
      <c r="I54" t="s">
        <v>26</v>
      </c>
      <c r="J54" t="s">
        <v>239</v>
      </c>
      <c r="K54" t="s">
        <v>57</v>
      </c>
      <c r="L54" t="s">
        <v>96</v>
      </c>
      <c r="M54">
        <v>4</v>
      </c>
      <c r="N54">
        <v>4500</v>
      </c>
      <c r="O54">
        <v>12</v>
      </c>
      <c r="P54" t="s">
        <v>30</v>
      </c>
      <c r="Q54" t="s">
        <v>60</v>
      </c>
      <c r="R54">
        <v>15840</v>
      </c>
      <c r="S54">
        <v>11200</v>
      </c>
      <c r="T54">
        <v>4640</v>
      </c>
    </row>
    <row r="55" spans="1:20" x14ac:dyDescent="0.3">
      <c r="A55" t="s">
        <v>240</v>
      </c>
      <c r="B55" s="1">
        <v>45710</v>
      </c>
      <c r="C55" t="s">
        <v>241</v>
      </c>
      <c r="D55" t="s">
        <v>177</v>
      </c>
      <c r="E55">
        <v>47</v>
      </c>
      <c r="F55" t="s">
        <v>35</v>
      </c>
      <c r="G55" t="s">
        <v>46</v>
      </c>
      <c r="H55" t="s">
        <v>47</v>
      </c>
      <c r="I55" t="s">
        <v>26</v>
      </c>
      <c r="J55" t="s">
        <v>242</v>
      </c>
      <c r="K55" t="s">
        <v>57</v>
      </c>
      <c r="L55" t="s">
        <v>58</v>
      </c>
      <c r="M55">
        <v>4</v>
      </c>
      <c r="N55">
        <v>1800</v>
      </c>
      <c r="O55">
        <v>5</v>
      </c>
      <c r="P55" t="s">
        <v>129</v>
      </c>
      <c r="Q55" t="s">
        <v>31</v>
      </c>
      <c r="R55">
        <v>6840</v>
      </c>
      <c r="S55">
        <v>4000</v>
      </c>
      <c r="T55">
        <v>2840</v>
      </c>
    </row>
    <row r="56" spans="1:20" x14ac:dyDescent="0.3">
      <c r="A56" t="s">
        <v>243</v>
      </c>
      <c r="B56" s="1">
        <v>45692</v>
      </c>
      <c r="C56" t="s">
        <v>140</v>
      </c>
      <c r="D56" t="s">
        <v>234</v>
      </c>
      <c r="E56">
        <v>31</v>
      </c>
      <c r="F56" t="s">
        <v>35</v>
      </c>
      <c r="G56" t="s">
        <v>151</v>
      </c>
      <c r="H56" t="s">
        <v>152</v>
      </c>
      <c r="I56" t="s">
        <v>38</v>
      </c>
      <c r="J56" t="s">
        <v>239</v>
      </c>
      <c r="K56" t="s">
        <v>49</v>
      </c>
      <c r="L56" t="s">
        <v>154</v>
      </c>
      <c r="M56">
        <v>4</v>
      </c>
      <c r="N56">
        <v>1000</v>
      </c>
      <c r="O56">
        <v>10</v>
      </c>
      <c r="P56" t="s">
        <v>30</v>
      </c>
      <c r="Q56" t="s">
        <v>60</v>
      </c>
      <c r="R56">
        <v>3600</v>
      </c>
      <c r="S56">
        <v>2000</v>
      </c>
      <c r="T56">
        <v>1600</v>
      </c>
    </row>
    <row r="57" spans="1:20" x14ac:dyDescent="0.3">
      <c r="A57" t="s">
        <v>244</v>
      </c>
      <c r="B57" s="1">
        <v>45690</v>
      </c>
      <c r="C57" t="s">
        <v>245</v>
      </c>
      <c r="D57" t="s">
        <v>198</v>
      </c>
      <c r="E57">
        <v>32</v>
      </c>
      <c r="F57" t="s">
        <v>23</v>
      </c>
      <c r="G57" t="s">
        <v>141</v>
      </c>
      <c r="H57" t="s">
        <v>142</v>
      </c>
      <c r="I57" t="s">
        <v>26</v>
      </c>
      <c r="J57" t="s">
        <v>147</v>
      </c>
      <c r="K57" t="s">
        <v>28</v>
      </c>
      <c r="L57" t="s">
        <v>29</v>
      </c>
      <c r="M57">
        <v>2</v>
      </c>
      <c r="N57">
        <v>55000</v>
      </c>
      <c r="O57">
        <v>0</v>
      </c>
      <c r="P57" t="s">
        <v>42</v>
      </c>
      <c r="Q57" t="s">
        <v>31</v>
      </c>
      <c r="R57">
        <v>110000</v>
      </c>
      <c r="S57">
        <v>84000</v>
      </c>
      <c r="T57">
        <v>26000</v>
      </c>
    </row>
    <row r="58" spans="1:20" x14ac:dyDescent="0.3">
      <c r="A58" t="s">
        <v>246</v>
      </c>
      <c r="B58" s="1">
        <v>45697</v>
      </c>
      <c r="C58" t="s">
        <v>247</v>
      </c>
      <c r="D58" t="s">
        <v>124</v>
      </c>
      <c r="E58">
        <v>31</v>
      </c>
      <c r="F58" t="s">
        <v>23</v>
      </c>
      <c r="G58" t="s">
        <v>151</v>
      </c>
      <c r="H58" t="s">
        <v>152</v>
      </c>
      <c r="I58" t="s">
        <v>38</v>
      </c>
      <c r="J58" t="s">
        <v>215</v>
      </c>
      <c r="K58" t="s">
        <v>49</v>
      </c>
      <c r="L58" t="s">
        <v>85</v>
      </c>
      <c r="M58">
        <v>5</v>
      </c>
      <c r="N58">
        <v>5000</v>
      </c>
      <c r="O58">
        <v>0</v>
      </c>
      <c r="P58" t="s">
        <v>42</v>
      </c>
      <c r="Q58" t="s">
        <v>31</v>
      </c>
      <c r="R58">
        <v>25000</v>
      </c>
      <c r="S58">
        <v>16000</v>
      </c>
      <c r="T58">
        <v>9000</v>
      </c>
    </row>
    <row r="59" spans="1:20" x14ac:dyDescent="0.3">
      <c r="A59" t="s">
        <v>248</v>
      </c>
      <c r="B59" s="1">
        <v>45695</v>
      </c>
      <c r="C59" t="s">
        <v>249</v>
      </c>
      <c r="D59" t="s">
        <v>99</v>
      </c>
      <c r="E59">
        <v>54</v>
      </c>
      <c r="F59" t="s">
        <v>23</v>
      </c>
      <c r="G59" t="s">
        <v>141</v>
      </c>
      <c r="H59" t="s">
        <v>142</v>
      </c>
      <c r="I59" t="s">
        <v>38</v>
      </c>
      <c r="J59" t="s">
        <v>158</v>
      </c>
      <c r="K59" t="s">
        <v>57</v>
      </c>
      <c r="L59" t="s">
        <v>96</v>
      </c>
      <c r="M59">
        <v>5</v>
      </c>
      <c r="N59">
        <v>4500</v>
      </c>
      <c r="O59">
        <v>5</v>
      </c>
      <c r="P59" t="s">
        <v>30</v>
      </c>
      <c r="Q59" t="s">
        <v>31</v>
      </c>
      <c r="R59">
        <v>21375</v>
      </c>
      <c r="S59">
        <v>14000</v>
      </c>
      <c r="T59">
        <v>7375</v>
      </c>
    </row>
    <row r="60" spans="1:20" x14ac:dyDescent="0.3">
      <c r="A60" t="s">
        <v>250</v>
      </c>
      <c r="B60" s="1">
        <v>45732</v>
      </c>
      <c r="C60" t="s">
        <v>251</v>
      </c>
      <c r="D60" t="s">
        <v>124</v>
      </c>
      <c r="E60">
        <v>20</v>
      </c>
      <c r="F60" t="s">
        <v>23</v>
      </c>
      <c r="G60" t="s">
        <v>71</v>
      </c>
      <c r="H60" t="s">
        <v>71</v>
      </c>
      <c r="I60" t="s">
        <v>38</v>
      </c>
      <c r="J60" t="s">
        <v>161</v>
      </c>
      <c r="K60" t="s">
        <v>49</v>
      </c>
      <c r="L60" t="s">
        <v>50</v>
      </c>
      <c r="M60">
        <v>3</v>
      </c>
      <c r="N60">
        <v>30000</v>
      </c>
      <c r="O60">
        <v>0</v>
      </c>
      <c r="P60" t="s">
        <v>129</v>
      </c>
      <c r="Q60" t="s">
        <v>60</v>
      </c>
      <c r="R60">
        <v>90000</v>
      </c>
      <c r="S60">
        <v>66000</v>
      </c>
      <c r="T60">
        <v>24000</v>
      </c>
    </row>
    <row r="61" spans="1:20" x14ac:dyDescent="0.3">
      <c r="A61" t="s">
        <v>252</v>
      </c>
      <c r="B61" s="1">
        <v>45695</v>
      </c>
      <c r="C61" t="s">
        <v>253</v>
      </c>
      <c r="D61" t="s">
        <v>157</v>
      </c>
      <c r="E61">
        <v>27</v>
      </c>
      <c r="F61" t="s">
        <v>35</v>
      </c>
      <c r="G61" t="s">
        <v>78</v>
      </c>
      <c r="H61" t="s">
        <v>65</v>
      </c>
      <c r="I61" t="s">
        <v>26</v>
      </c>
      <c r="J61" t="s">
        <v>187</v>
      </c>
      <c r="K61" t="s">
        <v>73</v>
      </c>
      <c r="L61" t="s">
        <v>117</v>
      </c>
      <c r="M61">
        <v>5</v>
      </c>
      <c r="N61">
        <v>2500</v>
      </c>
      <c r="O61">
        <v>12</v>
      </c>
      <c r="P61" t="s">
        <v>129</v>
      </c>
      <c r="Q61" t="s">
        <v>60</v>
      </c>
      <c r="R61">
        <v>11000</v>
      </c>
      <c r="S61">
        <v>8000</v>
      </c>
      <c r="T61">
        <v>3000</v>
      </c>
    </row>
    <row r="62" spans="1:20" x14ac:dyDescent="0.3">
      <c r="A62" t="s">
        <v>254</v>
      </c>
      <c r="B62" s="1">
        <v>45735</v>
      </c>
      <c r="C62" t="s">
        <v>255</v>
      </c>
      <c r="D62" t="s">
        <v>234</v>
      </c>
      <c r="E62">
        <v>33</v>
      </c>
      <c r="F62" t="s">
        <v>35</v>
      </c>
      <c r="G62" t="s">
        <v>36</v>
      </c>
      <c r="H62" t="s">
        <v>37</v>
      </c>
      <c r="I62" t="s">
        <v>38</v>
      </c>
      <c r="J62" t="s">
        <v>256</v>
      </c>
      <c r="K62" t="s">
        <v>57</v>
      </c>
      <c r="L62" t="s">
        <v>96</v>
      </c>
      <c r="M62">
        <v>5</v>
      </c>
      <c r="N62">
        <v>4500</v>
      </c>
      <c r="O62">
        <v>15</v>
      </c>
      <c r="P62" t="s">
        <v>129</v>
      </c>
      <c r="Q62" t="s">
        <v>31</v>
      </c>
      <c r="R62">
        <v>19125</v>
      </c>
      <c r="S62">
        <v>14000</v>
      </c>
      <c r="T62">
        <v>5125</v>
      </c>
    </row>
    <row r="63" spans="1:20" x14ac:dyDescent="0.3">
      <c r="A63" t="s">
        <v>257</v>
      </c>
      <c r="B63" s="1">
        <v>45690</v>
      </c>
      <c r="C63" t="s">
        <v>133</v>
      </c>
      <c r="D63" t="s">
        <v>177</v>
      </c>
      <c r="E63">
        <v>49</v>
      </c>
      <c r="F63" t="s">
        <v>35</v>
      </c>
      <c r="G63" t="s">
        <v>54</v>
      </c>
      <c r="H63" t="s">
        <v>55</v>
      </c>
      <c r="I63" t="s">
        <v>38</v>
      </c>
      <c r="J63" t="s">
        <v>239</v>
      </c>
      <c r="K63" t="s">
        <v>49</v>
      </c>
      <c r="L63" t="s">
        <v>191</v>
      </c>
      <c r="M63">
        <v>5</v>
      </c>
      <c r="N63">
        <v>2000</v>
      </c>
      <c r="O63">
        <v>10</v>
      </c>
      <c r="P63" t="s">
        <v>30</v>
      </c>
      <c r="Q63" t="s">
        <v>86</v>
      </c>
      <c r="R63">
        <v>9000</v>
      </c>
      <c r="S63">
        <v>6000</v>
      </c>
      <c r="T63">
        <v>3000</v>
      </c>
    </row>
    <row r="64" spans="1:20" x14ac:dyDescent="0.3">
      <c r="A64" t="s">
        <v>258</v>
      </c>
      <c r="B64" s="1">
        <v>45701</v>
      </c>
      <c r="C64" t="s">
        <v>259</v>
      </c>
      <c r="D64" t="s">
        <v>113</v>
      </c>
      <c r="E64">
        <v>49</v>
      </c>
      <c r="F64" t="s">
        <v>23</v>
      </c>
      <c r="G64" t="s">
        <v>114</v>
      </c>
      <c r="H64" t="s">
        <v>115</v>
      </c>
      <c r="I64" t="s">
        <v>26</v>
      </c>
      <c r="J64" t="s">
        <v>230</v>
      </c>
      <c r="K64" t="s">
        <v>57</v>
      </c>
      <c r="L64" t="s">
        <v>202</v>
      </c>
      <c r="M64">
        <v>1</v>
      </c>
      <c r="N64">
        <v>4000</v>
      </c>
      <c r="O64">
        <v>0</v>
      </c>
      <c r="P64" t="s">
        <v>59</v>
      </c>
      <c r="Q64" t="s">
        <v>31</v>
      </c>
      <c r="R64">
        <v>4000</v>
      </c>
      <c r="S64">
        <v>2600</v>
      </c>
      <c r="T64">
        <v>1400</v>
      </c>
    </row>
    <row r="65" spans="1:20" x14ac:dyDescent="0.3">
      <c r="A65" t="s">
        <v>260</v>
      </c>
      <c r="B65" s="1">
        <v>45714</v>
      </c>
      <c r="C65" t="s">
        <v>261</v>
      </c>
      <c r="D65" t="s">
        <v>99</v>
      </c>
      <c r="E65">
        <v>60</v>
      </c>
      <c r="F65" t="s">
        <v>23</v>
      </c>
      <c r="G65" t="s">
        <v>183</v>
      </c>
      <c r="H65" t="s">
        <v>184</v>
      </c>
      <c r="I65" t="s">
        <v>38</v>
      </c>
      <c r="J65" t="s">
        <v>262</v>
      </c>
      <c r="K65" t="s">
        <v>57</v>
      </c>
      <c r="L65" t="s">
        <v>121</v>
      </c>
      <c r="M65">
        <v>5</v>
      </c>
      <c r="N65">
        <v>2500</v>
      </c>
      <c r="O65">
        <v>10</v>
      </c>
      <c r="P65" t="s">
        <v>59</v>
      </c>
      <c r="Q65" t="s">
        <v>60</v>
      </c>
      <c r="R65">
        <v>11250</v>
      </c>
      <c r="S65">
        <v>7500</v>
      </c>
      <c r="T65">
        <v>3750</v>
      </c>
    </row>
    <row r="66" spans="1:20" x14ac:dyDescent="0.3">
      <c r="A66" t="s">
        <v>263</v>
      </c>
      <c r="B66" s="1">
        <v>45706</v>
      </c>
      <c r="C66" t="s">
        <v>264</v>
      </c>
      <c r="D66" t="s">
        <v>164</v>
      </c>
      <c r="E66">
        <v>25</v>
      </c>
      <c r="F66" t="s">
        <v>35</v>
      </c>
      <c r="G66" t="s">
        <v>104</v>
      </c>
      <c r="H66" t="s">
        <v>105</v>
      </c>
      <c r="I66" t="s">
        <v>26</v>
      </c>
      <c r="J66" t="s">
        <v>265</v>
      </c>
      <c r="K66" t="s">
        <v>49</v>
      </c>
      <c r="L66" t="s">
        <v>50</v>
      </c>
      <c r="M66">
        <v>2</v>
      </c>
      <c r="N66">
        <v>30000</v>
      </c>
      <c r="O66">
        <v>5</v>
      </c>
      <c r="P66" t="s">
        <v>42</v>
      </c>
      <c r="Q66" t="s">
        <v>60</v>
      </c>
      <c r="R66">
        <v>57000</v>
      </c>
      <c r="S66">
        <v>44000</v>
      </c>
      <c r="T66">
        <v>13000</v>
      </c>
    </row>
    <row r="67" spans="1:20" x14ac:dyDescent="0.3">
      <c r="A67" t="s">
        <v>266</v>
      </c>
      <c r="B67" s="1">
        <v>45706</v>
      </c>
      <c r="C67" t="s">
        <v>255</v>
      </c>
      <c r="D67" t="s">
        <v>267</v>
      </c>
      <c r="E67">
        <v>30</v>
      </c>
      <c r="F67" t="s">
        <v>35</v>
      </c>
      <c r="G67" t="s">
        <v>64</v>
      </c>
      <c r="H67" t="s">
        <v>65</v>
      </c>
      <c r="I67" t="s">
        <v>26</v>
      </c>
      <c r="J67" t="s">
        <v>206</v>
      </c>
      <c r="K67" t="s">
        <v>49</v>
      </c>
      <c r="L67" t="s">
        <v>85</v>
      </c>
      <c r="M67">
        <v>1</v>
      </c>
      <c r="N67">
        <v>5000</v>
      </c>
      <c r="O67">
        <v>15</v>
      </c>
      <c r="P67" t="s">
        <v>42</v>
      </c>
      <c r="Q67" t="s">
        <v>31</v>
      </c>
      <c r="R67">
        <v>4250</v>
      </c>
      <c r="S67">
        <v>3200</v>
      </c>
      <c r="T67">
        <v>1050</v>
      </c>
    </row>
    <row r="68" spans="1:20" x14ac:dyDescent="0.3">
      <c r="A68" t="s">
        <v>268</v>
      </c>
      <c r="B68" s="1">
        <v>45691</v>
      </c>
      <c r="C68" t="s">
        <v>167</v>
      </c>
      <c r="D68" t="s">
        <v>177</v>
      </c>
      <c r="E68">
        <v>58</v>
      </c>
      <c r="F68" t="s">
        <v>35</v>
      </c>
      <c r="G68" t="s">
        <v>137</v>
      </c>
      <c r="H68" t="s">
        <v>37</v>
      </c>
      <c r="I68" t="s">
        <v>38</v>
      </c>
      <c r="J68" t="s">
        <v>116</v>
      </c>
      <c r="K68" t="s">
        <v>28</v>
      </c>
      <c r="L68" t="s">
        <v>29</v>
      </c>
      <c r="M68">
        <v>3</v>
      </c>
      <c r="N68">
        <v>55000</v>
      </c>
      <c r="O68">
        <v>12</v>
      </c>
      <c r="P68" t="s">
        <v>129</v>
      </c>
      <c r="Q68" t="s">
        <v>60</v>
      </c>
      <c r="R68">
        <v>145200</v>
      </c>
      <c r="S68">
        <v>126000</v>
      </c>
      <c r="T68">
        <v>19200</v>
      </c>
    </row>
    <row r="69" spans="1:20" x14ac:dyDescent="0.3">
      <c r="A69" t="s">
        <v>269</v>
      </c>
      <c r="B69" s="1">
        <v>45710</v>
      </c>
      <c r="C69" t="s">
        <v>170</v>
      </c>
      <c r="D69" t="s">
        <v>99</v>
      </c>
      <c r="E69">
        <v>48</v>
      </c>
      <c r="F69" t="s">
        <v>23</v>
      </c>
      <c r="G69" t="s">
        <v>36</v>
      </c>
      <c r="H69" t="s">
        <v>37</v>
      </c>
      <c r="I69" t="s">
        <v>26</v>
      </c>
      <c r="J69" t="s">
        <v>158</v>
      </c>
      <c r="K69" t="s">
        <v>57</v>
      </c>
      <c r="L69" t="s">
        <v>202</v>
      </c>
      <c r="M69">
        <v>5</v>
      </c>
      <c r="N69">
        <v>4000</v>
      </c>
      <c r="O69">
        <v>0</v>
      </c>
      <c r="P69" t="s">
        <v>42</v>
      </c>
      <c r="Q69" t="s">
        <v>31</v>
      </c>
      <c r="R69">
        <v>20000</v>
      </c>
      <c r="S69">
        <v>13000</v>
      </c>
      <c r="T69">
        <v>7000</v>
      </c>
    </row>
    <row r="70" spans="1:20" x14ac:dyDescent="0.3">
      <c r="A70" t="s">
        <v>270</v>
      </c>
      <c r="B70" s="1">
        <v>45725</v>
      </c>
      <c r="C70" t="s">
        <v>271</v>
      </c>
      <c r="D70" t="s">
        <v>109</v>
      </c>
      <c r="E70">
        <v>25</v>
      </c>
      <c r="F70" t="s">
        <v>23</v>
      </c>
      <c r="G70" t="s">
        <v>114</v>
      </c>
      <c r="H70" t="s">
        <v>115</v>
      </c>
      <c r="I70" t="s">
        <v>38</v>
      </c>
      <c r="J70" t="s">
        <v>272</v>
      </c>
      <c r="K70" t="s">
        <v>73</v>
      </c>
      <c r="L70" t="s">
        <v>144</v>
      </c>
      <c r="M70">
        <v>4</v>
      </c>
      <c r="N70">
        <v>3500</v>
      </c>
      <c r="O70">
        <v>12</v>
      </c>
      <c r="P70" t="s">
        <v>129</v>
      </c>
      <c r="Q70" t="s">
        <v>31</v>
      </c>
      <c r="R70">
        <v>12320</v>
      </c>
      <c r="S70">
        <v>8000</v>
      </c>
      <c r="T70">
        <v>4320</v>
      </c>
    </row>
    <row r="71" spans="1:20" x14ac:dyDescent="0.3">
      <c r="A71" t="s">
        <v>273</v>
      </c>
      <c r="B71" s="1">
        <v>45726</v>
      </c>
      <c r="C71" t="s">
        <v>274</v>
      </c>
      <c r="D71" t="s">
        <v>205</v>
      </c>
      <c r="E71">
        <v>57</v>
      </c>
      <c r="F71" t="s">
        <v>35</v>
      </c>
      <c r="G71" t="s">
        <v>24</v>
      </c>
      <c r="H71" t="s">
        <v>25</v>
      </c>
      <c r="I71" t="s">
        <v>26</v>
      </c>
      <c r="J71" t="s">
        <v>199</v>
      </c>
      <c r="K71" t="s">
        <v>40</v>
      </c>
      <c r="L71" t="s">
        <v>80</v>
      </c>
      <c r="M71">
        <v>1</v>
      </c>
      <c r="N71">
        <v>10000</v>
      </c>
      <c r="O71">
        <v>5</v>
      </c>
      <c r="P71" t="s">
        <v>42</v>
      </c>
      <c r="Q71" t="s">
        <v>31</v>
      </c>
      <c r="R71">
        <v>9500</v>
      </c>
      <c r="S71">
        <v>7000</v>
      </c>
      <c r="T71">
        <v>2500</v>
      </c>
    </row>
    <row r="72" spans="1:20" x14ac:dyDescent="0.3">
      <c r="A72" t="s">
        <v>275</v>
      </c>
      <c r="B72" s="1">
        <v>45724</v>
      </c>
      <c r="C72" t="s">
        <v>276</v>
      </c>
      <c r="D72" t="s">
        <v>128</v>
      </c>
      <c r="E72">
        <v>44</v>
      </c>
      <c r="F72" t="s">
        <v>23</v>
      </c>
      <c r="G72" t="s">
        <v>151</v>
      </c>
      <c r="H72" t="s">
        <v>152</v>
      </c>
      <c r="I72" t="s">
        <v>38</v>
      </c>
      <c r="J72" t="s">
        <v>277</v>
      </c>
      <c r="K72" t="s">
        <v>49</v>
      </c>
      <c r="L72" t="s">
        <v>50</v>
      </c>
      <c r="M72">
        <v>3</v>
      </c>
      <c r="N72">
        <v>30000</v>
      </c>
      <c r="O72">
        <v>10</v>
      </c>
      <c r="P72" t="s">
        <v>129</v>
      </c>
      <c r="Q72" t="s">
        <v>31</v>
      </c>
      <c r="R72">
        <v>81000</v>
      </c>
      <c r="S72">
        <v>66000</v>
      </c>
      <c r="T72">
        <v>15000</v>
      </c>
    </row>
    <row r="73" spans="1:20" x14ac:dyDescent="0.3">
      <c r="A73" t="s">
        <v>278</v>
      </c>
      <c r="B73" s="1">
        <v>45732</v>
      </c>
      <c r="C73" t="s">
        <v>102</v>
      </c>
      <c r="D73" t="s">
        <v>205</v>
      </c>
      <c r="E73">
        <v>60</v>
      </c>
      <c r="F73" t="s">
        <v>35</v>
      </c>
      <c r="G73" t="s">
        <v>137</v>
      </c>
      <c r="H73" t="s">
        <v>37</v>
      </c>
      <c r="I73" t="s">
        <v>26</v>
      </c>
      <c r="J73" t="s">
        <v>265</v>
      </c>
      <c r="K73" t="s">
        <v>57</v>
      </c>
      <c r="L73" t="s">
        <v>58</v>
      </c>
      <c r="M73">
        <v>2</v>
      </c>
      <c r="N73">
        <v>1800</v>
      </c>
      <c r="O73">
        <v>5</v>
      </c>
      <c r="P73" t="s">
        <v>59</v>
      </c>
      <c r="Q73" t="s">
        <v>31</v>
      </c>
      <c r="R73">
        <v>3420</v>
      </c>
      <c r="S73">
        <v>2000</v>
      </c>
      <c r="T73">
        <v>1420</v>
      </c>
    </row>
    <row r="74" spans="1:20" x14ac:dyDescent="0.3">
      <c r="A74" t="s">
        <v>279</v>
      </c>
      <c r="B74" s="1">
        <v>45693</v>
      </c>
      <c r="C74" t="s">
        <v>127</v>
      </c>
      <c r="D74" t="s">
        <v>99</v>
      </c>
      <c r="E74">
        <v>56</v>
      </c>
      <c r="F74" t="s">
        <v>23</v>
      </c>
      <c r="G74" t="s">
        <v>104</v>
      </c>
      <c r="H74" t="s">
        <v>105</v>
      </c>
      <c r="I74" t="s">
        <v>38</v>
      </c>
      <c r="J74" t="s">
        <v>256</v>
      </c>
      <c r="K74" t="s">
        <v>57</v>
      </c>
      <c r="L74" t="s">
        <v>58</v>
      </c>
      <c r="M74">
        <v>3</v>
      </c>
      <c r="N74">
        <v>1800</v>
      </c>
      <c r="O74">
        <v>12</v>
      </c>
      <c r="P74" t="s">
        <v>59</v>
      </c>
      <c r="Q74" t="s">
        <v>86</v>
      </c>
      <c r="R74">
        <v>4752</v>
      </c>
      <c r="S74">
        <v>3000</v>
      </c>
      <c r="T74">
        <v>1752</v>
      </c>
    </row>
    <row r="75" spans="1:20" x14ac:dyDescent="0.3">
      <c r="A75" t="s">
        <v>280</v>
      </c>
      <c r="B75" s="1">
        <v>45723</v>
      </c>
      <c r="C75" t="s">
        <v>133</v>
      </c>
      <c r="D75" t="s">
        <v>267</v>
      </c>
      <c r="E75">
        <v>56</v>
      </c>
      <c r="F75" t="s">
        <v>35</v>
      </c>
      <c r="G75" t="s">
        <v>24</v>
      </c>
      <c r="H75" t="s">
        <v>25</v>
      </c>
      <c r="I75" t="s">
        <v>38</v>
      </c>
      <c r="J75" t="s">
        <v>281</v>
      </c>
      <c r="K75" t="s">
        <v>49</v>
      </c>
      <c r="L75" t="s">
        <v>191</v>
      </c>
      <c r="M75">
        <v>1</v>
      </c>
      <c r="N75">
        <v>2000</v>
      </c>
      <c r="O75">
        <v>5</v>
      </c>
      <c r="P75" t="s">
        <v>30</v>
      </c>
      <c r="Q75" t="s">
        <v>31</v>
      </c>
      <c r="R75">
        <v>1900</v>
      </c>
      <c r="S75">
        <v>1200</v>
      </c>
      <c r="T75">
        <v>700</v>
      </c>
    </row>
    <row r="76" spans="1:20" x14ac:dyDescent="0.3">
      <c r="A76" t="s">
        <v>282</v>
      </c>
      <c r="B76" s="1">
        <v>45725</v>
      </c>
      <c r="C76" t="s">
        <v>182</v>
      </c>
      <c r="D76" t="s">
        <v>283</v>
      </c>
      <c r="E76">
        <v>51</v>
      </c>
      <c r="F76" t="s">
        <v>23</v>
      </c>
      <c r="G76" t="s">
        <v>141</v>
      </c>
      <c r="H76" t="s">
        <v>142</v>
      </c>
      <c r="I76" t="s">
        <v>38</v>
      </c>
      <c r="J76" t="s">
        <v>100</v>
      </c>
      <c r="K76" t="s">
        <v>49</v>
      </c>
      <c r="L76" t="s">
        <v>85</v>
      </c>
      <c r="M76">
        <v>4</v>
      </c>
      <c r="N76">
        <v>5000</v>
      </c>
      <c r="O76">
        <v>12</v>
      </c>
      <c r="P76" t="s">
        <v>30</v>
      </c>
      <c r="Q76" t="s">
        <v>60</v>
      </c>
      <c r="R76">
        <v>17600</v>
      </c>
      <c r="S76">
        <v>12800</v>
      </c>
      <c r="T76">
        <v>4800</v>
      </c>
    </row>
    <row r="77" spans="1:20" x14ac:dyDescent="0.3">
      <c r="A77" t="s">
        <v>284</v>
      </c>
      <c r="B77" s="1">
        <v>45711</v>
      </c>
      <c r="C77" t="s">
        <v>173</v>
      </c>
      <c r="D77" t="s">
        <v>234</v>
      </c>
      <c r="E77">
        <v>60</v>
      </c>
      <c r="F77" t="s">
        <v>35</v>
      </c>
      <c r="G77" t="s">
        <v>36</v>
      </c>
      <c r="H77" t="s">
        <v>37</v>
      </c>
      <c r="I77" t="s">
        <v>26</v>
      </c>
      <c r="J77" t="s">
        <v>285</v>
      </c>
      <c r="K77" t="s">
        <v>49</v>
      </c>
      <c r="L77" t="s">
        <v>154</v>
      </c>
      <c r="M77">
        <v>3</v>
      </c>
      <c r="N77">
        <v>1000</v>
      </c>
      <c r="O77">
        <v>12</v>
      </c>
      <c r="P77" t="s">
        <v>30</v>
      </c>
      <c r="Q77" t="s">
        <v>60</v>
      </c>
      <c r="R77">
        <v>2640</v>
      </c>
      <c r="S77">
        <v>1500</v>
      </c>
      <c r="T77">
        <v>1140</v>
      </c>
    </row>
    <row r="78" spans="1:20" x14ac:dyDescent="0.3">
      <c r="A78" t="s">
        <v>286</v>
      </c>
      <c r="B78" s="1">
        <v>45694</v>
      </c>
      <c r="C78" t="s">
        <v>287</v>
      </c>
      <c r="D78" t="s">
        <v>234</v>
      </c>
      <c r="E78">
        <v>25</v>
      </c>
      <c r="F78" t="s">
        <v>35</v>
      </c>
      <c r="G78" t="s">
        <v>137</v>
      </c>
      <c r="H78" t="s">
        <v>37</v>
      </c>
      <c r="I78" t="s">
        <v>38</v>
      </c>
      <c r="J78" t="s">
        <v>265</v>
      </c>
      <c r="K78" t="s">
        <v>73</v>
      </c>
      <c r="L78" t="s">
        <v>74</v>
      </c>
      <c r="M78">
        <v>4</v>
      </c>
      <c r="N78">
        <v>1500</v>
      </c>
      <c r="O78">
        <v>12</v>
      </c>
      <c r="P78" t="s">
        <v>30</v>
      </c>
      <c r="Q78" t="s">
        <v>31</v>
      </c>
      <c r="R78">
        <v>5280</v>
      </c>
      <c r="S78">
        <v>3600</v>
      </c>
      <c r="T78">
        <v>1680</v>
      </c>
    </row>
    <row r="79" spans="1:20" x14ac:dyDescent="0.3">
      <c r="A79" t="s">
        <v>288</v>
      </c>
      <c r="B79" s="1">
        <v>45722</v>
      </c>
      <c r="C79" t="s">
        <v>289</v>
      </c>
      <c r="D79" t="s">
        <v>157</v>
      </c>
      <c r="E79">
        <v>21</v>
      </c>
      <c r="F79" t="s">
        <v>35</v>
      </c>
      <c r="G79" t="s">
        <v>54</v>
      </c>
      <c r="H79" t="s">
        <v>55</v>
      </c>
      <c r="I79" t="s">
        <v>38</v>
      </c>
      <c r="J79" t="s">
        <v>138</v>
      </c>
      <c r="K79" t="s">
        <v>73</v>
      </c>
      <c r="L79" t="s">
        <v>144</v>
      </c>
      <c r="M79">
        <v>4</v>
      </c>
      <c r="N79">
        <v>3500</v>
      </c>
      <c r="O79">
        <v>12</v>
      </c>
      <c r="P79" t="s">
        <v>30</v>
      </c>
      <c r="Q79" t="s">
        <v>31</v>
      </c>
      <c r="R79">
        <v>12320</v>
      </c>
      <c r="S79">
        <v>8000</v>
      </c>
      <c r="T79">
        <v>4320</v>
      </c>
    </row>
    <row r="80" spans="1:20" x14ac:dyDescent="0.3">
      <c r="A80" t="s">
        <v>290</v>
      </c>
      <c r="B80" s="1">
        <v>45729</v>
      </c>
      <c r="C80" t="s">
        <v>197</v>
      </c>
      <c r="D80" t="s">
        <v>150</v>
      </c>
      <c r="E80">
        <v>37</v>
      </c>
      <c r="F80" t="s">
        <v>23</v>
      </c>
      <c r="G80" t="s">
        <v>114</v>
      </c>
      <c r="H80" t="s">
        <v>115</v>
      </c>
      <c r="I80" t="s">
        <v>26</v>
      </c>
      <c r="J80" t="s">
        <v>242</v>
      </c>
      <c r="K80" t="s">
        <v>73</v>
      </c>
      <c r="L80" t="s">
        <v>131</v>
      </c>
      <c r="M80">
        <v>2</v>
      </c>
      <c r="N80">
        <v>2000</v>
      </c>
      <c r="O80">
        <v>0</v>
      </c>
      <c r="P80" t="s">
        <v>129</v>
      </c>
      <c r="Q80" t="s">
        <v>31</v>
      </c>
      <c r="R80">
        <v>4000</v>
      </c>
      <c r="S80">
        <v>2600</v>
      </c>
      <c r="T80">
        <v>1400</v>
      </c>
    </row>
    <row r="81" spans="1:20" x14ac:dyDescent="0.3">
      <c r="A81" t="s">
        <v>291</v>
      </c>
      <c r="B81" s="1">
        <v>45730</v>
      </c>
      <c r="C81" t="s">
        <v>292</v>
      </c>
      <c r="D81" t="s">
        <v>293</v>
      </c>
      <c r="E81">
        <v>50</v>
      </c>
      <c r="F81" t="s">
        <v>35</v>
      </c>
      <c r="G81" t="s">
        <v>104</v>
      </c>
      <c r="H81" t="s">
        <v>105</v>
      </c>
      <c r="I81" t="s">
        <v>38</v>
      </c>
      <c r="J81" t="s">
        <v>211</v>
      </c>
      <c r="K81" t="s">
        <v>57</v>
      </c>
      <c r="L81" t="s">
        <v>202</v>
      </c>
      <c r="M81">
        <v>2</v>
      </c>
      <c r="N81">
        <v>4000</v>
      </c>
      <c r="O81">
        <v>12</v>
      </c>
      <c r="P81" t="s">
        <v>42</v>
      </c>
      <c r="Q81" t="s">
        <v>60</v>
      </c>
      <c r="R81">
        <v>7040</v>
      </c>
      <c r="S81">
        <v>5200</v>
      </c>
      <c r="T81">
        <v>1840</v>
      </c>
    </row>
    <row r="82" spans="1:20" x14ac:dyDescent="0.3">
      <c r="A82" t="s">
        <v>294</v>
      </c>
      <c r="B82" s="1">
        <v>45701</v>
      </c>
      <c r="C82" t="s">
        <v>251</v>
      </c>
      <c r="D82" t="s">
        <v>136</v>
      </c>
      <c r="E82">
        <v>35</v>
      </c>
      <c r="F82" t="s">
        <v>23</v>
      </c>
      <c r="G82" t="s">
        <v>137</v>
      </c>
      <c r="H82" t="s">
        <v>37</v>
      </c>
      <c r="I82" t="s">
        <v>38</v>
      </c>
      <c r="J82" t="s">
        <v>174</v>
      </c>
      <c r="K82" t="s">
        <v>49</v>
      </c>
      <c r="L82" t="s">
        <v>191</v>
      </c>
      <c r="M82">
        <v>3</v>
      </c>
      <c r="N82">
        <v>2000</v>
      </c>
      <c r="O82">
        <v>10</v>
      </c>
      <c r="P82" t="s">
        <v>129</v>
      </c>
      <c r="Q82" t="s">
        <v>31</v>
      </c>
      <c r="R82">
        <v>5400</v>
      </c>
      <c r="S82">
        <v>3600</v>
      </c>
      <c r="T82">
        <v>1800</v>
      </c>
    </row>
    <row r="83" spans="1:20" x14ac:dyDescent="0.3">
      <c r="A83" t="s">
        <v>295</v>
      </c>
      <c r="B83" s="1">
        <v>45717</v>
      </c>
      <c r="C83" t="s">
        <v>149</v>
      </c>
      <c r="D83" t="s">
        <v>234</v>
      </c>
      <c r="E83">
        <v>39</v>
      </c>
      <c r="F83" t="s">
        <v>35</v>
      </c>
      <c r="G83" t="s">
        <v>114</v>
      </c>
      <c r="H83" t="s">
        <v>115</v>
      </c>
      <c r="I83" t="s">
        <v>38</v>
      </c>
      <c r="J83" t="s">
        <v>168</v>
      </c>
      <c r="K83" t="s">
        <v>57</v>
      </c>
      <c r="L83" t="s">
        <v>121</v>
      </c>
      <c r="M83">
        <v>2</v>
      </c>
      <c r="N83">
        <v>2500</v>
      </c>
      <c r="O83">
        <v>15</v>
      </c>
      <c r="P83" t="s">
        <v>129</v>
      </c>
      <c r="Q83" t="s">
        <v>31</v>
      </c>
      <c r="R83">
        <v>4250</v>
      </c>
      <c r="S83">
        <v>3000</v>
      </c>
      <c r="T83">
        <v>1250</v>
      </c>
    </row>
    <row r="84" spans="1:20" x14ac:dyDescent="0.3">
      <c r="A84" t="s">
        <v>296</v>
      </c>
      <c r="B84" s="1">
        <v>45738</v>
      </c>
      <c r="C84" t="s">
        <v>173</v>
      </c>
      <c r="D84" t="s">
        <v>198</v>
      </c>
      <c r="E84">
        <v>48</v>
      </c>
      <c r="F84" t="s">
        <v>23</v>
      </c>
      <c r="G84" t="s">
        <v>104</v>
      </c>
      <c r="H84" t="s">
        <v>105</v>
      </c>
      <c r="I84" t="s">
        <v>38</v>
      </c>
      <c r="J84" t="s">
        <v>285</v>
      </c>
      <c r="K84" t="s">
        <v>57</v>
      </c>
      <c r="L84" t="s">
        <v>96</v>
      </c>
      <c r="M84">
        <v>1</v>
      </c>
      <c r="N84">
        <v>4500</v>
      </c>
      <c r="O84">
        <v>5</v>
      </c>
      <c r="P84" t="s">
        <v>59</v>
      </c>
      <c r="Q84" t="s">
        <v>31</v>
      </c>
      <c r="R84">
        <v>4275</v>
      </c>
      <c r="S84">
        <v>2800</v>
      </c>
      <c r="T84">
        <v>1475</v>
      </c>
    </row>
    <row r="85" spans="1:20" x14ac:dyDescent="0.3">
      <c r="A85" t="s">
        <v>297</v>
      </c>
      <c r="B85" s="1">
        <v>45717</v>
      </c>
      <c r="C85" t="s">
        <v>298</v>
      </c>
      <c r="D85" t="s">
        <v>299</v>
      </c>
      <c r="E85">
        <v>27</v>
      </c>
      <c r="F85" t="s">
        <v>35</v>
      </c>
      <c r="G85" t="s">
        <v>78</v>
      </c>
      <c r="H85" t="s">
        <v>65</v>
      </c>
      <c r="I85" t="s">
        <v>26</v>
      </c>
      <c r="J85" t="s">
        <v>199</v>
      </c>
      <c r="K85" t="s">
        <v>28</v>
      </c>
      <c r="L85" t="s">
        <v>188</v>
      </c>
      <c r="M85">
        <v>3</v>
      </c>
      <c r="N85">
        <v>8000</v>
      </c>
      <c r="O85">
        <v>15</v>
      </c>
      <c r="P85" t="s">
        <v>129</v>
      </c>
      <c r="Q85" t="s">
        <v>31</v>
      </c>
      <c r="R85">
        <v>20400</v>
      </c>
      <c r="S85">
        <v>16500</v>
      </c>
      <c r="T85">
        <v>3900</v>
      </c>
    </row>
    <row r="86" spans="1:20" x14ac:dyDescent="0.3">
      <c r="A86" t="s">
        <v>300</v>
      </c>
      <c r="B86" s="1">
        <v>45710</v>
      </c>
      <c r="C86" t="s">
        <v>301</v>
      </c>
      <c r="D86" t="s">
        <v>234</v>
      </c>
      <c r="E86">
        <v>58</v>
      </c>
      <c r="F86" t="s">
        <v>35</v>
      </c>
      <c r="G86" t="s">
        <v>104</v>
      </c>
      <c r="H86" t="s">
        <v>105</v>
      </c>
      <c r="I86" t="s">
        <v>38</v>
      </c>
      <c r="J86" t="s">
        <v>187</v>
      </c>
      <c r="K86" t="s">
        <v>73</v>
      </c>
      <c r="L86" t="s">
        <v>74</v>
      </c>
      <c r="M86">
        <v>1</v>
      </c>
      <c r="N86">
        <v>1500</v>
      </c>
      <c r="O86">
        <v>5</v>
      </c>
      <c r="P86" t="s">
        <v>59</v>
      </c>
      <c r="Q86" t="s">
        <v>31</v>
      </c>
      <c r="R86">
        <v>1425</v>
      </c>
      <c r="S86">
        <v>900</v>
      </c>
      <c r="T86">
        <v>525</v>
      </c>
    </row>
    <row r="87" spans="1:20" x14ac:dyDescent="0.3">
      <c r="A87" t="s">
        <v>302</v>
      </c>
      <c r="B87" s="1">
        <v>45736</v>
      </c>
      <c r="C87" t="s">
        <v>303</v>
      </c>
      <c r="D87" t="s">
        <v>267</v>
      </c>
      <c r="E87">
        <v>58</v>
      </c>
      <c r="F87" t="s">
        <v>35</v>
      </c>
      <c r="G87" t="s">
        <v>104</v>
      </c>
      <c r="H87" t="s">
        <v>105</v>
      </c>
      <c r="I87" t="s">
        <v>26</v>
      </c>
      <c r="J87" t="s">
        <v>206</v>
      </c>
      <c r="K87" t="s">
        <v>57</v>
      </c>
      <c r="L87" t="s">
        <v>96</v>
      </c>
      <c r="M87">
        <v>1</v>
      </c>
      <c r="N87">
        <v>4500</v>
      </c>
      <c r="O87">
        <v>0</v>
      </c>
      <c r="P87" t="s">
        <v>59</v>
      </c>
      <c r="Q87" t="s">
        <v>31</v>
      </c>
      <c r="R87">
        <v>4500</v>
      </c>
      <c r="S87">
        <v>2800</v>
      </c>
      <c r="T87">
        <v>1700</v>
      </c>
    </row>
    <row r="88" spans="1:20" x14ac:dyDescent="0.3">
      <c r="A88" t="s">
        <v>304</v>
      </c>
      <c r="B88" s="1">
        <v>45707</v>
      </c>
      <c r="C88" t="s">
        <v>305</v>
      </c>
      <c r="D88" t="s">
        <v>223</v>
      </c>
      <c r="E88">
        <v>27</v>
      </c>
      <c r="F88" t="s">
        <v>35</v>
      </c>
      <c r="G88" t="s">
        <v>54</v>
      </c>
      <c r="H88" t="s">
        <v>55</v>
      </c>
      <c r="I88" t="s">
        <v>38</v>
      </c>
      <c r="J88" t="s">
        <v>120</v>
      </c>
      <c r="K88" t="s">
        <v>73</v>
      </c>
      <c r="L88" t="s">
        <v>144</v>
      </c>
      <c r="M88">
        <v>2</v>
      </c>
      <c r="N88">
        <v>3500</v>
      </c>
      <c r="O88">
        <v>0</v>
      </c>
      <c r="P88" t="s">
        <v>129</v>
      </c>
      <c r="Q88" t="s">
        <v>86</v>
      </c>
      <c r="R88">
        <v>7000</v>
      </c>
      <c r="S88">
        <v>4000</v>
      </c>
      <c r="T88">
        <v>3000</v>
      </c>
    </row>
    <row r="89" spans="1:20" x14ac:dyDescent="0.3">
      <c r="A89" t="s">
        <v>306</v>
      </c>
      <c r="B89" s="1">
        <v>45732</v>
      </c>
      <c r="C89" t="s">
        <v>226</v>
      </c>
      <c r="D89" t="s">
        <v>205</v>
      </c>
      <c r="E89">
        <v>27</v>
      </c>
      <c r="F89" t="s">
        <v>35</v>
      </c>
      <c r="G89" t="s">
        <v>54</v>
      </c>
      <c r="H89" t="s">
        <v>55</v>
      </c>
      <c r="I89" t="s">
        <v>38</v>
      </c>
      <c r="J89" t="s">
        <v>199</v>
      </c>
      <c r="K89" t="s">
        <v>49</v>
      </c>
      <c r="L89" t="s">
        <v>154</v>
      </c>
      <c r="M89">
        <v>1</v>
      </c>
      <c r="N89">
        <v>1000</v>
      </c>
      <c r="O89">
        <v>12</v>
      </c>
      <c r="P89" t="s">
        <v>59</v>
      </c>
      <c r="Q89" t="s">
        <v>86</v>
      </c>
      <c r="R89">
        <v>880</v>
      </c>
      <c r="S89">
        <v>500</v>
      </c>
      <c r="T89">
        <v>380</v>
      </c>
    </row>
    <row r="90" spans="1:20" x14ac:dyDescent="0.3">
      <c r="A90" t="s">
        <v>307</v>
      </c>
      <c r="B90" s="1">
        <v>45699</v>
      </c>
      <c r="C90" t="s">
        <v>276</v>
      </c>
      <c r="D90" t="s">
        <v>234</v>
      </c>
      <c r="E90">
        <v>55</v>
      </c>
      <c r="F90" t="s">
        <v>35</v>
      </c>
      <c r="G90" t="s">
        <v>64</v>
      </c>
      <c r="H90" t="s">
        <v>65</v>
      </c>
      <c r="I90" t="s">
        <v>38</v>
      </c>
      <c r="J90" t="s">
        <v>206</v>
      </c>
      <c r="K90" t="s">
        <v>49</v>
      </c>
      <c r="L90" t="s">
        <v>154</v>
      </c>
      <c r="M90">
        <v>2</v>
      </c>
      <c r="N90">
        <v>1000</v>
      </c>
      <c r="O90">
        <v>12</v>
      </c>
      <c r="P90" t="s">
        <v>129</v>
      </c>
      <c r="Q90" t="s">
        <v>31</v>
      </c>
      <c r="R90">
        <v>1760</v>
      </c>
      <c r="S90">
        <v>1000</v>
      </c>
      <c r="T90">
        <v>760</v>
      </c>
    </row>
    <row r="91" spans="1:20" x14ac:dyDescent="0.3">
      <c r="A91" t="s">
        <v>308</v>
      </c>
      <c r="B91" s="1">
        <v>45704</v>
      </c>
      <c r="C91" t="s">
        <v>309</v>
      </c>
      <c r="D91" t="s">
        <v>205</v>
      </c>
      <c r="E91">
        <v>36</v>
      </c>
      <c r="F91" t="s">
        <v>35</v>
      </c>
      <c r="G91" t="s">
        <v>104</v>
      </c>
      <c r="H91" t="s">
        <v>105</v>
      </c>
      <c r="I91" t="s">
        <v>38</v>
      </c>
      <c r="J91" t="s">
        <v>239</v>
      </c>
      <c r="K91" t="s">
        <v>28</v>
      </c>
      <c r="L91" t="s">
        <v>188</v>
      </c>
      <c r="M91">
        <v>1</v>
      </c>
      <c r="N91">
        <v>8000</v>
      </c>
      <c r="O91">
        <v>15</v>
      </c>
      <c r="P91" t="s">
        <v>30</v>
      </c>
      <c r="Q91" t="s">
        <v>86</v>
      </c>
      <c r="R91">
        <v>6800</v>
      </c>
      <c r="S91">
        <v>5500</v>
      </c>
      <c r="T91">
        <v>1300</v>
      </c>
    </row>
    <row r="92" spans="1:20" x14ac:dyDescent="0.3">
      <c r="A92" t="s">
        <v>310</v>
      </c>
      <c r="B92" s="1">
        <v>45736</v>
      </c>
      <c r="C92" t="s">
        <v>133</v>
      </c>
      <c r="D92" t="s">
        <v>164</v>
      </c>
      <c r="E92">
        <v>56</v>
      </c>
      <c r="F92" t="s">
        <v>35</v>
      </c>
      <c r="G92" t="s">
        <v>137</v>
      </c>
      <c r="H92" t="s">
        <v>37</v>
      </c>
      <c r="I92" t="s">
        <v>38</v>
      </c>
      <c r="J92" t="s">
        <v>187</v>
      </c>
      <c r="K92" t="s">
        <v>40</v>
      </c>
      <c r="L92" t="s">
        <v>80</v>
      </c>
      <c r="M92">
        <v>3</v>
      </c>
      <c r="N92">
        <v>10000</v>
      </c>
      <c r="O92">
        <v>5</v>
      </c>
      <c r="P92" t="s">
        <v>30</v>
      </c>
      <c r="Q92" t="s">
        <v>31</v>
      </c>
      <c r="R92">
        <v>28500</v>
      </c>
      <c r="S92">
        <v>21000</v>
      </c>
      <c r="T92">
        <v>7500</v>
      </c>
    </row>
    <row r="93" spans="1:20" x14ac:dyDescent="0.3">
      <c r="A93" t="s">
        <v>311</v>
      </c>
      <c r="B93" s="1">
        <v>45708</v>
      </c>
      <c r="C93" t="s">
        <v>312</v>
      </c>
      <c r="D93" t="s">
        <v>124</v>
      </c>
      <c r="E93">
        <v>41</v>
      </c>
      <c r="F93" t="s">
        <v>23</v>
      </c>
      <c r="G93" t="s">
        <v>104</v>
      </c>
      <c r="H93" t="s">
        <v>105</v>
      </c>
      <c r="I93" t="s">
        <v>26</v>
      </c>
      <c r="J93" t="s">
        <v>178</v>
      </c>
      <c r="K93" t="s">
        <v>28</v>
      </c>
      <c r="L93" t="s">
        <v>91</v>
      </c>
      <c r="M93">
        <v>4</v>
      </c>
      <c r="N93">
        <v>15000</v>
      </c>
      <c r="O93">
        <v>5</v>
      </c>
      <c r="P93" t="s">
        <v>42</v>
      </c>
      <c r="Q93" t="s">
        <v>31</v>
      </c>
      <c r="R93">
        <v>57000</v>
      </c>
      <c r="S93">
        <v>44000</v>
      </c>
      <c r="T93">
        <v>13000</v>
      </c>
    </row>
    <row r="94" spans="1:20" x14ac:dyDescent="0.3">
      <c r="A94" t="s">
        <v>313</v>
      </c>
      <c r="B94" s="1">
        <v>45739</v>
      </c>
      <c r="C94" t="s">
        <v>245</v>
      </c>
      <c r="D94" t="s">
        <v>83</v>
      </c>
      <c r="E94">
        <v>50</v>
      </c>
      <c r="F94" t="s">
        <v>35</v>
      </c>
      <c r="G94" t="s">
        <v>64</v>
      </c>
      <c r="H94" t="s">
        <v>65</v>
      </c>
      <c r="I94" t="s">
        <v>26</v>
      </c>
      <c r="J94" t="s">
        <v>138</v>
      </c>
      <c r="K94" t="s">
        <v>49</v>
      </c>
      <c r="L94" t="s">
        <v>154</v>
      </c>
      <c r="M94">
        <v>3</v>
      </c>
      <c r="N94">
        <v>1000</v>
      </c>
      <c r="O94">
        <v>0</v>
      </c>
      <c r="P94" t="s">
        <v>129</v>
      </c>
      <c r="Q94" t="s">
        <v>31</v>
      </c>
      <c r="R94">
        <v>3000</v>
      </c>
      <c r="S94">
        <v>1500</v>
      </c>
      <c r="T94">
        <v>1500</v>
      </c>
    </row>
    <row r="95" spans="1:20" x14ac:dyDescent="0.3">
      <c r="A95" t="s">
        <v>314</v>
      </c>
      <c r="B95" s="1">
        <v>45698</v>
      </c>
      <c r="C95" t="s">
        <v>315</v>
      </c>
      <c r="D95" t="s">
        <v>83</v>
      </c>
      <c r="E95">
        <v>41</v>
      </c>
      <c r="F95" t="s">
        <v>35</v>
      </c>
      <c r="G95" t="s">
        <v>36</v>
      </c>
      <c r="H95" t="s">
        <v>37</v>
      </c>
      <c r="I95" t="s">
        <v>38</v>
      </c>
      <c r="J95" t="s">
        <v>265</v>
      </c>
      <c r="K95" t="s">
        <v>28</v>
      </c>
      <c r="L95" t="s">
        <v>91</v>
      </c>
      <c r="M95">
        <v>1</v>
      </c>
      <c r="N95">
        <v>15000</v>
      </c>
      <c r="O95">
        <v>12</v>
      </c>
      <c r="P95" t="s">
        <v>59</v>
      </c>
      <c r="Q95" t="s">
        <v>31</v>
      </c>
      <c r="R95">
        <v>13200</v>
      </c>
      <c r="S95">
        <v>11000</v>
      </c>
      <c r="T95">
        <v>2200</v>
      </c>
    </row>
    <row r="96" spans="1:20" x14ac:dyDescent="0.3">
      <c r="A96" t="s">
        <v>316</v>
      </c>
      <c r="B96" s="1">
        <v>45726</v>
      </c>
      <c r="C96" t="s">
        <v>309</v>
      </c>
      <c r="D96" t="s">
        <v>267</v>
      </c>
      <c r="E96">
        <v>32</v>
      </c>
      <c r="F96" t="s">
        <v>35</v>
      </c>
      <c r="G96" t="s">
        <v>151</v>
      </c>
      <c r="H96" t="s">
        <v>152</v>
      </c>
      <c r="I96" t="s">
        <v>26</v>
      </c>
      <c r="J96" t="s">
        <v>187</v>
      </c>
      <c r="K96" t="s">
        <v>73</v>
      </c>
      <c r="L96" t="s">
        <v>117</v>
      </c>
      <c r="M96">
        <v>2</v>
      </c>
      <c r="N96">
        <v>2500</v>
      </c>
      <c r="O96">
        <v>0</v>
      </c>
      <c r="P96" t="s">
        <v>129</v>
      </c>
      <c r="Q96" t="s">
        <v>31</v>
      </c>
      <c r="R96">
        <v>5000</v>
      </c>
      <c r="S96">
        <v>3200</v>
      </c>
      <c r="T96">
        <v>1800</v>
      </c>
    </row>
    <row r="97" spans="1:20" x14ac:dyDescent="0.3">
      <c r="A97" t="s">
        <v>317</v>
      </c>
      <c r="B97" s="1">
        <v>45730</v>
      </c>
      <c r="C97" t="s">
        <v>173</v>
      </c>
      <c r="D97" t="s">
        <v>150</v>
      </c>
      <c r="E97">
        <v>20</v>
      </c>
      <c r="F97" t="s">
        <v>23</v>
      </c>
      <c r="G97" t="s">
        <v>24</v>
      </c>
      <c r="H97" t="s">
        <v>25</v>
      </c>
      <c r="I97" t="s">
        <v>38</v>
      </c>
      <c r="J97" t="s">
        <v>165</v>
      </c>
      <c r="K97" t="s">
        <v>57</v>
      </c>
      <c r="L97" t="s">
        <v>58</v>
      </c>
      <c r="M97">
        <v>2</v>
      </c>
      <c r="N97">
        <v>1800</v>
      </c>
      <c r="O97">
        <v>15</v>
      </c>
      <c r="P97" t="s">
        <v>42</v>
      </c>
      <c r="Q97" t="s">
        <v>60</v>
      </c>
      <c r="R97">
        <v>3060</v>
      </c>
      <c r="S97">
        <v>2000</v>
      </c>
      <c r="T97">
        <v>1060</v>
      </c>
    </row>
    <row r="98" spans="1:20" x14ac:dyDescent="0.3">
      <c r="A98" t="s">
        <v>318</v>
      </c>
      <c r="B98" s="1">
        <v>45718</v>
      </c>
      <c r="C98" t="s">
        <v>319</v>
      </c>
      <c r="D98" t="s">
        <v>205</v>
      </c>
      <c r="E98">
        <v>27</v>
      </c>
      <c r="F98" t="s">
        <v>35</v>
      </c>
      <c r="G98" t="s">
        <v>78</v>
      </c>
      <c r="H98" t="s">
        <v>65</v>
      </c>
      <c r="I98" t="s">
        <v>26</v>
      </c>
      <c r="J98" t="s">
        <v>239</v>
      </c>
      <c r="K98" t="s">
        <v>57</v>
      </c>
      <c r="L98" t="s">
        <v>202</v>
      </c>
      <c r="M98">
        <v>1</v>
      </c>
      <c r="N98">
        <v>4000</v>
      </c>
      <c r="O98">
        <v>10</v>
      </c>
      <c r="P98" t="s">
        <v>42</v>
      </c>
      <c r="Q98" t="s">
        <v>60</v>
      </c>
      <c r="R98">
        <v>3600</v>
      </c>
      <c r="S98">
        <v>2600</v>
      </c>
      <c r="T98">
        <v>1000</v>
      </c>
    </row>
    <row r="99" spans="1:20" x14ac:dyDescent="0.3">
      <c r="A99" t="s">
        <v>320</v>
      </c>
      <c r="B99" s="1">
        <v>45717</v>
      </c>
      <c r="C99" t="s">
        <v>226</v>
      </c>
      <c r="D99" t="s">
        <v>267</v>
      </c>
      <c r="E99">
        <v>41</v>
      </c>
      <c r="F99" t="s">
        <v>35</v>
      </c>
      <c r="G99" t="s">
        <v>114</v>
      </c>
      <c r="H99" t="s">
        <v>115</v>
      </c>
      <c r="I99" t="s">
        <v>38</v>
      </c>
      <c r="J99" t="s">
        <v>239</v>
      </c>
      <c r="K99" t="s">
        <v>28</v>
      </c>
      <c r="L99" t="s">
        <v>188</v>
      </c>
      <c r="M99">
        <v>2</v>
      </c>
      <c r="N99">
        <v>8000</v>
      </c>
      <c r="O99">
        <v>0</v>
      </c>
      <c r="P99" t="s">
        <v>129</v>
      </c>
      <c r="Q99" t="s">
        <v>31</v>
      </c>
      <c r="R99">
        <v>16000</v>
      </c>
      <c r="S99">
        <v>11000</v>
      </c>
      <c r="T99">
        <v>5000</v>
      </c>
    </row>
    <row r="100" spans="1:20" x14ac:dyDescent="0.3">
      <c r="A100" t="s">
        <v>321</v>
      </c>
      <c r="B100" s="1">
        <v>45731</v>
      </c>
      <c r="C100" t="s">
        <v>322</v>
      </c>
      <c r="D100" t="s">
        <v>128</v>
      </c>
      <c r="E100">
        <v>39</v>
      </c>
      <c r="F100" t="s">
        <v>23</v>
      </c>
      <c r="G100" t="s">
        <v>54</v>
      </c>
      <c r="H100" t="s">
        <v>55</v>
      </c>
      <c r="I100" t="s">
        <v>26</v>
      </c>
      <c r="J100" t="s">
        <v>158</v>
      </c>
      <c r="K100" t="s">
        <v>73</v>
      </c>
      <c r="L100" t="s">
        <v>144</v>
      </c>
      <c r="M100">
        <v>5</v>
      </c>
      <c r="N100">
        <v>3500</v>
      </c>
      <c r="O100">
        <v>5</v>
      </c>
      <c r="P100" t="s">
        <v>42</v>
      </c>
      <c r="Q100" t="s">
        <v>31</v>
      </c>
      <c r="R100">
        <v>16625</v>
      </c>
      <c r="S100">
        <v>10000</v>
      </c>
      <c r="T100">
        <v>6625</v>
      </c>
    </row>
    <row r="101" spans="1:20" x14ac:dyDescent="0.3">
      <c r="A101" t="s">
        <v>323</v>
      </c>
      <c r="B101" s="1">
        <v>45710</v>
      </c>
      <c r="C101" t="s">
        <v>324</v>
      </c>
      <c r="D101" t="s">
        <v>99</v>
      </c>
      <c r="E101">
        <v>27</v>
      </c>
      <c r="F101" t="s">
        <v>23</v>
      </c>
      <c r="G101" t="s">
        <v>46</v>
      </c>
      <c r="H101" t="s">
        <v>47</v>
      </c>
      <c r="I101" t="s">
        <v>38</v>
      </c>
      <c r="J101" t="s">
        <v>281</v>
      </c>
      <c r="K101" t="s">
        <v>40</v>
      </c>
      <c r="L101" t="s">
        <v>41</v>
      </c>
      <c r="M101">
        <v>2</v>
      </c>
      <c r="N101">
        <v>3500</v>
      </c>
      <c r="O101">
        <v>0</v>
      </c>
      <c r="P101" t="s">
        <v>59</v>
      </c>
      <c r="Q101" t="s">
        <v>31</v>
      </c>
      <c r="R101">
        <v>7000</v>
      </c>
      <c r="S101">
        <v>4400</v>
      </c>
      <c r="T101">
        <v>2600</v>
      </c>
    </row>
    <row r="102" spans="1:20" x14ac:dyDescent="0.3">
      <c r="A102" t="s">
        <v>325</v>
      </c>
      <c r="B102" s="1">
        <v>45726</v>
      </c>
      <c r="C102" t="s">
        <v>326</v>
      </c>
      <c r="D102" t="s">
        <v>150</v>
      </c>
      <c r="E102">
        <v>34</v>
      </c>
      <c r="F102" t="s">
        <v>23</v>
      </c>
      <c r="G102" t="s">
        <v>24</v>
      </c>
      <c r="H102" t="s">
        <v>25</v>
      </c>
      <c r="I102" t="s">
        <v>26</v>
      </c>
      <c r="J102" t="s">
        <v>158</v>
      </c>
      <c r="K102" t="s">
        <v>57</v>
      </c>
      <c r="L102" t="s">
        <v>58</v>
      </c>
      <c r="M102">
        <v>4</v>
      </c>
      <c r="N102">
        <v>1800</v>
      </c>
      <c r="O102">
        <v>12</v>
      </c>
      <c r="P102" t="s">
        <v>59</v>
      </c>
      <c r="Q102" t="s">
        <v>86</v>
      </c>
      <c r="R102">
        <v>6336</v>
      </c>
      <c r="S102">
        <v>4000</v>
      </c>
      <c r="T102">
        <v>2336</v>
      </c>
    </row>
    <row r="103" spans="1:20" x14ac:dyDescent="0.3">
      <c r="A103" t="s">
        <v>327</v>
      </c>
      <c r="B103" s="1">
        <v>45726</v>
      </c>
      <c r="C103" t="s">
        <v>328</v>
      </c>
      <c r="D103" t="s">
        <v>83</v>
      </c>
      <c r="E103">
        <v>32</v>
      </c>
      <c r="F103" t="s">
        <v>35</v>
      </c>
      <c r="G103" t="s">
        <v>183</v>
      </c>
      <c r="H103" t="s">
        <v>184</v>
      </c>
      <c r="I103" t="s">
        <v>26</v>
      </c>
      <c r="J103" t="s">
        <v>256</v>
      </c>
      <c r="K103" t="s">
        <v>73</v>
      </c>
      <c r="L103" t="s">
        <v>117</v>
      </c>
      <c r="M103">
        <v>1</v>
      </c>
      <c r="N103">
        <v>2500</v>
      </c>
      <c r="O103">
        <v>0</v>
      </c>
      <c r="P103" t="s">
        <v>129</v>
      </c>
      <c r="Q103" t="s">
        <v>60</v>
      </c>
      <c r="R103">
        <v>2500</v>
      </c>
      <c r="S103">
        <v>1600</v>
      </c>
      <c r="T103">
        <v>900</v>
      </c>
    </row>
    <row r="104" spans="1:20" x14ac:dyDescent="0.3">
      <c r="A104" t="s">
        <v>329</v>
      </c>
      <c r="B104" s="1">
        <v>45716</v>
      </c>
      <c r="C104" t="s">
        <v>123</v>
      </c>
      <c r="D104" t="s">
        <v>283</v>
      </c>
      <c r="E104">
        <v>46</v>
      </c>
      <c r="F104" t="s">
        <v>23</v>
      </c>
      <c r="G104" t="s">
        <v>36</v>
      </c>
      <c r="H104" t="s">
        <v>37</v>
      </c>
      <c r="I104" t="s">
        <v>26</v>
      </c>
      <c r="J104" t="s">
        <v>158</v>
      </c>
      <c r="K104" t="s">
        <v>49</v>
      </c>
      <c r="L104" t="s">
        <v>85</v>
      </c>
      <c r="M104">
        <v>2</v>
      </c>
      <c r="N104">
        <v>5000</v>
      </c>
      <c r="O104">
        <v>10</v>
      </c>
      <c r="P104" t="s">
        <v>59</v>
      </c>
      <c r="Q104" t="s">
        <v>60</v>
      </c>
      <c r="R104">
        <v>9000</v>
      </c>
      <c r="S104">
        <v>6400</v>
      </c>
      <c r="T104">
        <v>2600</v>
      </c>
    </row>
    <row r="105" spans="1:20" x14ac:dyDescent="0.3">
      <c r="A105" t="s">
        <v>330</v>
      </c>
      <c r="B105" s="1">
        <v>45727</v>
      </c>
      <c r="C105" t="s">
        <v>193</v>
      </c>
      <c r="D105" t="s">
        <v>157</v>
      </c>
      <c r="E105">
        <v>50</v>
      </c>
      <c r="F105" t="s">
        <v>35</v>
      </c>
      <c r="G105" t="s">
        <v>183</v>
      </c>
      <c r="H105" t="s">
        <v>184</v>
      </c>
      <c r="I105" t="s">
        <v>38</v>
      </c>
      <c r="J105" t="s">
        <v>201</v>
      </c>
      <c r="K105" t="s">
        <v>28</v>
      </c>
      <c r="L105" t="s">
        <v>29</v>
      </c>
      <c r="M105">
        <v>2</v>
      </c>
      <c r="N105">
        <v>55000</v>
      </c>
      <c r="O105">
        <v>12</v>
      </c>
      <c r="P105" t="s">
        <v>129</v>
      </c>
      <c r="Q105" t="s">
        <v>31</v>
      </c>
      <c r="R105">
        <v>96800</v>
      </c>
      <c r="S105">
        <v>84000</v>
      </c>
      <c r="T105">
        <v>12800</v>
      </c>
    </row>
    <row r="106" spans="1:20" x14ac:dyDescent="0.3">
      <c r="A106" t="s">
        <v>331</v>
      </c>
      <c r="B106" s="1">
        <v>45715</v>
      </c>
      <c r="C106" t="s">
        <v>332</v>
      </c>
      <c r="D106" t="s">
        <v>223</v>
      </c>
      <c r="E106">
        <v>44</v>
      </c>
      <c r="F106" t="s">
        <v>35</v>
      </c>
      <c r="G106" t="s">
        <v>104</v>
      </c>
      <c r="H106" t="s">
        <v>105</v>
      </c>
      <c r="I106" t="s">
        <v>26</v>
      </c>
      <c r="J106" t="s">
        <v>178</v>
      </c>
      <c r="K106" t="s">
        <v>49</v>
      </c>
      <c r="L106" t="s">
        <v>154</v>
      </c>
      <c r="M106">
        <v>3</v>
      </c>
      <c r="N106">
        <v>1000</v>
      </c>
      <c r="O106">
        <v>10</v>
      </c>
      <c r="P106" t="s">
        <v>42</v>
      </c>
      <c r="Q106" t="s">
        <v>60</v>
      </c>
      <c r="R106">
        <v>2700</v>
      </c>
      <c r="S106">
        <v>1500</v>
      </c>
      <c r="T106">
        <v>1200</v>
      </c>
    </row>
    <row r="107" spans="1:20" x14ac:dyDescent="0.3">
      <c r="A107" t="s">
        <v>333</v>
      </c>
      <c r="B107" s="1">
        <v>45693</v>
      </c>
      <c r="C107" t="s">
        <v>303</v>
      </c>
      <c r="D107" t="s">
        <v>136</v>
      </c>
      <c r="E107">
        <v>45</v>
      </c>
      <c r="F107" t="s">
        <v>23</v>
      </c>
      <c r="G107" t="s">
        <v>36</v>
      </c>
      <c r="H107" t="s">
        <v>37</v>
      </c>
      <c r="I107" t="s">
        <v>38</v>
      </c>
      <c r="J107" t="s">
        <v>100</v>
      </c>
      <c r="K107" t="s">
        <v>40</v>
      </c>
      <c r="L107" t="s">
        <v>41</v>
      </c>
      <c r="M107">
        <v>5</v>
      </c>
      <c r="N107">
        <v>3500</v>
      </c>
      <c r="O107">
        <v>15</v>
      </c>
      <c r="P107" t="s">
        <v>59</v>
      </c>
      <c r="Q107" t="s">
        <v>31</v>
      </c>
      <c r="R107">
        <v>14875</v>
      </c>
      <c r="S107">
        <v>11000</v>
      </c>
      <c r="T107">
        <v>3875</v>
      </c>
    </row>
    <row r="108" spans="1:20" x14ac:dyDescent="0.3">
      <c r="A108" t="s">
        <v>334</v>
      </c>
      <c r="B108" s="1">
        <v>45715</v>
      </c>
      <c r="C108" t="s">
        <v>305</v>
      </c>
      <c r="D108" t="s">
        <v>299</v>
      </c>
      <c r="E108">
        <v>36</v>
      </c>
      <c r="F108" t="s">
        <v>35</v>
      </c>
      <c r="G108" t="s">
        <v>183</v>
      </c>
      <c r="H108" t="s">
        <v>184</v>
      </c>
      <c r="I108" t="s">
        <v>38</v>
      </c>
      <c r="J108" t="s">
        <v>116</v>
      </c>
      <c r="K108" t="s">
        <v>49</v>
      </c>
      <c r="L108" t="s">
        <v>50</v>
      </c>
      <c r="M108">
        <v>5</v>
      </c>
      <c r="N108">
        <v>30000</v>
      </c>
      <c r="O108">
        <v>5</v>
      </c>
      <c r="P108" t="s">
        <v>42</v>
      </c>
      <c r="Q108" t="s">
        <v>60</v>
      </c>
      <c r="R108">
        <v>142500</v>
      </c>
      <c r="S108">
        <v>110000</v>
      </c>
      <c r="T108">
        <v>32500</v>
      </c>
    </row>
    <row r="109" spans="1:20" x14ac:dyDescent="0.3">
      <c r="A109" t="s">
        <v>335</v>
      </c>
      <c r="B109" s="1">
        <v>45703</v>
      </c>
      <c r="C109" t="s">
        <v>328</v>
      </c>
      <c r="D109" t="s">
        <v>83</v>
      </c>
      <c r="E109">
        <v>41</v>
      </c>
      <c r="F109" t="s">
        <v>35</v>
      </c>
      <c r="G109" t="s">
        <v>36</v>
      </c>
      <c r="H109" t="s">
        <v>37</v>
      </c>
      <c r="I109" t="s">
        <v>38</v>
      </c>
      <c r="J109" t="s">
        <v>262</v>
      </c>
      <c r="K109" t="s">
        <v>73</v>
      </c>
      <c r="L109" t="s">
        <v>144</v>
      </c>
      <c r="M109">
        <v>5</v>
      </c>
      <c r="N109">
        <v>3500</v>
      </c>
      <c r="O109">
        <v>15</v>
      </c>
      <c r="P109" t="s">
        <v>30</v>
      </c>
      <c r="Q109" t="s">
        <v>86</v>
      </c>
      <c r="R109">
        <v>14875</v>
      </c>
      <c r="S109">
        <v>10000</v>
      </c>
      <c r="T109">
        <v>4875</v>
      </c>
    </row>
    <row r="110" spans="1:20" x14ac:dyDescent="0.3">
      <c r="A110" t="s">
        <v>336</v>
      </c>
      <c r="B110" s="1">
        <v>45731</v>
      </c>
      <c r="C110" t="s">
        <v>261</v>
      </c>
      <c r="D110" t="s">
        <v>299</v>
      </c>
      <c r="E110">
        <v>29</v>
      </c>
      <c r="F110" t="s">
        <v>35</v>
      </c>
      <c r="G110" t="s">
        <v>64</v>
      </c>
      <c r="H110" t="s">
        <v>65</v>
      </c>
      <c r="I110" t="s">
        <v>38</v>
      </c>
      <c r="J110" t="s">
        <v>174</v>
      </c>
      <c r="K110" t="s">
        <v>49</v>
      </c>
      <c r="L110" t="s">
        <v>191</v>
      </c>
      <c r="M110">
        <v>2</v>
      </c>
      <c r="N110">
        <v>2000</v>
      </c>
      <c r="O110">
        <v>5</v>
      </c>
      <c r="P110" t="s">
        <v>129</v>
      </c>
      <c r="Q110" t="s">
        <v>31</v>
      </c>
      <c r="R110">
        <v>3800</v>
      </c>
      <c r="S110">
        <v>2400</v>
      </c>
      <c r="T110">
        <v>1400</v>
      </c>
    </row>
    <row r="111" spans="1:20" x14ac:dyDescent="0.3">
      <c r="A111" t="s">
        <v>337</v>
      </c>
      <c r="B111" s="1">
        <v>45698</v>
      </c>
      <c r="C111" t="s">
        <v>338</v>
      </c>
      <c r="D111" t="s">
        <v>136</v>
      </c>
      <c r="E111">
        <v>51</v>
      </c>
      <c r="F111" t="s">
        <v>23</v>
      </c>
      <c r="G111" t="s">
        <v>54</v>
      </c>
      <c r="H111" t="s">
        <v>55</v>
      </c>
      <c r="I111" t="s">
        <v>38</v>
      </c>
      <c r="J111" t="s">
        <v>339</v>
      </c>
      <c r="K111" t="s">
        <v>57</v>
      </c>
      <c r="L111" t="s">
        <v>202</v>
      </c>
      <c r="M111">
        <v>2</v>
      </c>
      <c r="N111">
        <v>4000</v>
      </c>
      <c r="O111">
        <v>10</v>
      </c>
      <c r="P111" t="s">
        <v>59</v>
      </c>
      <c r="Q111" t="s">
        <v>31</v>
      </c>
      <c r="R111">
        <v>7200</v>
      </c>
      <c r="S111">
        <v>5200</v>
      </c>
      <c r="T111"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E9127-3EA8-4FE7-8388-3EA761317457}">
  <dimension ref="A3:G24"/>
  <sheetViews>
    <sheetView workbookViewId="0">
      <selection activeCell="E4" sqref="E4:F13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3" width="12.77734375" bestFit="1" customWidth="1"/>
    <col min="6" max="6" width="13.88671875" bestFit="1" customWidth="1"/>
    <col min="7" max="7" width="12.77734375" bestFit="1" customWidth="1"/>
  </cols>
  <sheetData>
    <row r="3" spans="1:7" x14ac:dyDescent="0.3">
      <c r="A3" s="13" t="s">
        <v>345</v>
      </c>
      <c r="B3" t="s">
        <v>347</v>
      </c>
      <c r="C3" t="s">
        <v>355</v>
      </c>
    </row>
    <row r="4" spans="1:7" x14ac:dyDescent="0.3">
      <c r="A4" s="15" t="s">
        <v>41</v>
      </c>
      <c r="B4" s="16">
        <v>86575</v>
      </c>
      <c r="C4" s="16">
        <v>28975</v>
      </c>
      <c r="E4" s="15" t="s">
        <v>29</v>
      </c>
      <c r="F4" s="16">
        <v>882000</v>
      </c>
      <c r="G4" s="16">
        <v>165000</v>
      </c>
    </row>
    <row r="5" spans="1:7" x14ac:dyDescent="0.3">
      <c r="A5" s="15" t="s">
        <v>154</v>
      </c>
      <c r="B5" s="16">
        <v>21970</v>
      </c>
      <c r="C5" s="16">
        <v>9970</v>
      </c>
      <c r="E5" s="15" t="s">
        <v>50</v>
      </c>
      <c r="F5" s="16">
        <v>584500</v>
      </c>
      <c r="G5" s="16">
        <v>130500</v>
      </c>
    </row>
    <row r="6" spans="1:7" x14ac:dyDescent="0.3">
      <c r="A6" s="15" t="s">
        <v>106</v>
      </c>
      <c r="B6" s="16">
        <v>13725</v>
      </c>
      <c r="C6" s="16">
        <v>4725</v>
      </c>
      <c r="E6" s="15" t="s">
        <v>67</v>
      </c>
      <c r="F6" s="16">
        <v>265150</v>
      </c>
      <c r="G6" s="16">
        <v>64150</v>
      </c>
    </row>
    <row r="7" spans="1:7" x14ac:dyDescent="0.3">
      <c r="A7" s="15" t="s">
        <v>131</v>
      </c>
      <c r="B7" s="16">
        <v>15000</v>
      </c>
      <c r="C7" s="16">
        <v>4600</v>
      </c>
      <c r="E7" s="15" t="s">
        <v>80</v>
      </c>
      <c r="F7" s="16">
        <v>141880</v>
      </c>
      <c r="G7" s="16">
        <v>39880</v>
      </c>
    </row>
    <row r="8" spans="1:7" x14ac:dyDescent="0.3">
      <c r="A8" s="15" t="s">
        <v>85</v>
      </c>
      <c r="B8" s="16">
        <v>76250</v>
      </c>
      <c r="C8" s="16">
        <v>23450</v>
      </c>
      <c r="E8" s="15" t="s">
        <v>188</v>
      </c>
      <c r="F8" s="16">
        <v>117200</v>
      </c>
      <c r="G8" s="16">
        <v>29200</v>
      </c>
    </row>
    <row r="9" spans="1:7" x14ac:dyDescent="0.3">
      <c r="A9" s="15" t="s">
        <v>202</v>
      </c>
      <c r="B9" s="16">
        <v>45840</v>
      </c>
      <c r="C9" s="16">
        <v>14640</v>
      </c>
      <c r="E9" s="15" t="s">
        <v>91</v>
      </c>
      <c r="F9" s="16">
        <v>91800</v>
      </c>
      <c r="G9" s="16">
        <v>20800</v>
      </c>
    </row>
    <row r="10" spans="1:7" x14ac:dyDescent="0.3">
      <c r="A10" s="15" t="s">
        <v>121</v>
      </c>
      <c r="B10" s="16">
        <v>22250</v>
      </c>
      <c r="C10" s="16">
        <v>7250</v>
      </c>
      <c r="E10" s="15" t="s">
        <v>41</v>
      </c>
      <c r="F10" s="16">
        <v>86575</v>
      </c>
      <c r="G10" s="16">
        <v>28975</v>
      </c>
    </row>
    <row r="11" spans="1:7" x14ac:dyDescent="0.3">
      <c r="A11" s="15" t="s">
        <v>29</v>
      </c>
      <c r="B11" s="16">
        <v>882000</v>
      </c>
      <c r="C11" s="16">
        <v>165000</v>
      </c>
      <c r="E11" s="15" t="s">
        <v>85</v>
      </c>
      <c r="F11" s="16">
        <v>76250</v>
      </c>
      <c r="G11" s="16">
        <v>23450</v>
      </c>
    </row>
    <row r="12" spans="1:7" x14ac:dyDescent="0.3">
      <c r="A12" s="15" t="s">
        <v>117</v>
      </c>
      <c r="B12" s="16">
        <v>34125</v>
      </c>
      <c r="C12" s="16">
        <v>10125</v>
      </c>
      <c r="E12" s="15" t="s">
        <v>96</v>
      </c>
      <c r="F12" s="16">
        <v>73615</v>
      </c>
      <c r="G12" s="16">
        <v>22815</v>
      </c>
    </row>
    <row r="13" spans="1:7" x14ac:dyDescent="0.3">
      <c r="A13" s="15" t="s">
        <v>91</v>
      </c>
      <c r="B13" s="16">
        <v>91800</v>
      </c>
      <c r="C13" s="16">
        <v>20800</v>
      </c>
      <c r="E13" s="15" t="s">
        <v>144</v>
      </c>
      <c r="F13" s="16">
        <v>73115</v>
      </c>
      <c r="G13" s="16">
        <v>27115</v>
      </c>
    </row>
    <row r="14" spans="1:7" x14ac:dyDescent="0.3">
      <c r="A14" s="15" t="s">
        <v>144</v>
      </c>
      <c r="B14" s="16">
        <v>73115</v>
      </c>
      <c r="C14" s="16">
        <v>27115</v>
      </c>
      <c r="E14" s="15" t="s">
        <v>58</v>
      </c>
      <c r="F14" s="16">
        <v>57129</v>
      </c>
      <c r="G14" s="16">
        <v>21129</v>
      </c>
    </row>
    <row r="15" spans="1:7" x14ac:dyDescent="0.3">
      <c r="A15" s="15" t="s">
        <v>191</v>
      </c>
      <c r="B15" s="16">
        <v>37580</v>
      </c>
      <c r="C15" s="16">
        <v>12380</v>
      </c>
      <c r="E15" s="15" t="s">
        <v>202</v>
      </c>
      <c r="F15" s="16">
        <v>45840</v>
      </c>
      <c r="G15" s="16">
        <v>14640</v>
      </c>
    </row>
    <row r="16" spans="1:7" x14ac:dyDescent="0.3">
      <c r="A16" s="15" t="s">
        <v>58</v>
      </c>
      <c r="B16" s="16">
        <v>57129</v>
      </c>
      <c r="C16" s="16">
        <v>21129</v>
      </c>
      <c r="E16" s="15" t="s">
        <v>191</v>
      </c>
      <c r="F16" s="16">
        <v>37580</v>
      </c>
      <c r="G16" s="16">
        <v>12380</v>
      </c>
    </row>
    <row r="17" spans="1:7" x14ac:dyDescent="0.3">
      <c r="A17" s="15" t="s">
        <v>96</v>
      </c>
      <c r="B17" s="16">
        <v>73615</v>
      </c>
      <c r="C17" s="16">
        <v>22815</v>
      </c>
      <c r="E17" s="15" t="s">
        <v>117</v>
      </c>
      <c r="F17" s="16">
        <v>34125</v>
      </c>
      <c r="G17" s="16">
        <v>10125</v>
      </c>
    </row>
    <row r="18" spans="1:7" x14ac:dyDescent="0.3">
      <c r="A18" s="15" t="s">
        <v>74</v>
      </c>
      <c r="B18" s="16">
        <v>25605</v>
      </c>
      <c r="C18" s="16">
        <v>9505</v>
      </c>
      <c r="E18" s="15" t="s">
        <v>74</v>
      </c>
      <c r="F18" s="16">
        <v>25605</v>
      </c>
      <c r="G18" s="16">
        <v>9505</v>
      </c>
    </row>
    <row r="19" spans="1:7" x14ac:dyDescent="0.3">
      <c r="A19" s="15" t="s">
        <v>50</v>
      </c>
      <c r="B19" s="16">
        <v>584500</v>
      </c>
      <c r="C19" s="16">
        <v>130500</v>
      </c>
      <c r="E19" s="15" t="s">
        <v>121</v>
      </c>
      <c r="F19" s="16">
        <v>22250</v>
      </c>
      <c r="G19" s="16">
        <v>7250</v>
      </c>
    </row>
    <row r="20" spans="1:7" x14ac:dyDescent="0.3">
      <c r="A20" s="15" t="s">
        <v>188</v>
      </c>
      <c r="B20" s="16">
        <v>117200</v>
      </c>
      <c r="C20" s="16">
        <v>29200</v>
      </c>
      <c r="E20" s="15" t="s">
        <v>154</v>
      </c>
      <c r="F20" s="16">
        <v>21970</v>
      </c>
      <c r="G20" s="16">
        <v>9970</v>
      </c>
    </row>
    <row r="21" spans="1:7" x14ac:dyDescent="0.3">
      <c r="A21" s="15" t="s">
        <v>195</v>
      </c>
      <c r="B21" s="16">
        <v>21250</v>
      </c>
      <c r="C21" s="16">
        <v>3250</v>
      </c>
      <c r="E21" s="15" t="s">
        <v>195</v>
      </c>
      <c r="F21" s="16">
        <v>21250</v>
      </c>
      <c r="G21" s="16">
        <v>3250</v>
      </c>
    </row>
    <row r="22" spans="1:7" x14ac:dyDescent="0.3">
      <c r="A22" s="15" t="s">
        <v>80</v>
      </c>
      <c r="B22" s="16">
        <v>141880</v>
      </c>
      <c r="C22" s="16">
        <v>39880</v>
      </c>
      <c r="E22" s="15" t="s">
        <v>131</v>
      </c>
      <c r="F22" s="16">
        <v>15000</v>
      </c>
      <c r="G22" s="16">
        <v>4600</v>
      </c>
    </row>
    <row r="23" spans="1:7" x14ac:dyDescent="0.3">
      <c r="A23" s="15" t="s">
        <v>67</v>
      </c>
      <c r="B23" s="16">
        <v>265150</v>
      </c>
      <c r="C23" s="16">
        <v>64150</v>
      </c>
      <c r="E23" s="15" t="s">
        <v>106</v>
      </c>
      <c r="F23" s="16">
        <v>13725</v>
      </c>
      <c r="G23" s="16">
        <v>4725</v>
      </c>
    </row>
    <row r="24" spans="1:7" x14ac:dyDescent="0.3">
      <c r="A24" s="14" t="s">
        <v>346</v>
      </c>
      <c r="B24" s="43">
        <v>2686559</v>
      </c>
      <c r="C24" s="43">
        <v>649459</v>
      </c>
    </row>
  </sheetData>
  <sortState xmlns:xlrd2="http://schemas.microsoft.com/office/spreadsheetml/2017/richdata2" ref="E4:G23">
    <sortCondition descending="1" ref="F4:F23"/>
  </sortState>
  <conditionalFormatting pivot="1" sqref="B4:C23">
    <cfRule type="top10" dxfId="3" priority="10" rank="10"/>
  </conditionalFormatting>
  <conditionalFormatting sqref="A4:A23">
    <cfRule type="top10" dxfId="2" priority="9" rank="10"/>
  </conditionalFormatting>
  <conditionalFormatting sqref="F4:G23">
    <cfRule type="top10" dxfId="1" priority="8" rank="10"/>
  </conditionalFormatting>
  <conditionalFormatting sqref="E4:G2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{404B4937-46E0-4635-A868-080BF311CAE3}</x14:id>
        </ext>
      </extLst>
    </cfRule>
    <cfRule type="top10" dxfId="0" priority="7" rank="10"/>
  </conditionalFormatting>
  <conditionalFormatting sqref="E4:E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{57A285FA-5DE4-425E-B6E6-A048A9FA3D95}</x14:id>
        </ext>
      </extLst>
    </cfRule>
  </conditionalFormatting>
  <conditionalFormatting sqref="F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{23169190-38AB-4CAC-89D0-C39DD3C9A3F7}</x14:id>
        </ext>
      </extLst>
    </cfRule>
  </conditionalFormatting>
  <conditionalFormatting sqref="G4:G2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{FE9AD7E2-9DB2-489E-9885-53E820E12237}</x14:id>
        </ext>
      </extLst>
    </cfRule>
  </conditionalFormatting>
  <conditionalFormatting sqref="F4:F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{D456D812-08A0-47B3-A7ED-CEADF0341E65}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4B4937-46E0-4635-A868-080BF311C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E4:G23</xm:sqref>
        </x14:conditionalFormatting>
        <x14:conditionalFormatting xmlns:xm="http://schemas.microsoft.com/office/excel/2006/main">
          <x14:cfRule type="dataBar" id="{57A285FA-5DE4-425E-B6E6-A048A9FA3D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E4:E23</xm:sqref>
        </x14:conditionalFormatting>
        <x14:conditionalFormatting xmlns:xm="http://schemas.microsoft.com/office/excel/2006/main">
          <x14:cfRule type="dataBar" id="{23169190-38AB-4CAC-89D0-C39DD3C9A3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</xm:sqref>
        </x14:conditionalFormatting>
        <x14:conditionalFormatting xmlns:xm="http://schemas.microsoft.com/office/excel/2006/main">
          <x14:cfRule type="dataBar" id="{FE9AD7E2-9DB2-489E-9885-53E820E12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G4:G23</xm:sqref>
        </x14:conditionalFormatting>
        <x14:conditionalFormatting xmlns:xm="http://schemas.microsoft.com/office/excel/2006/main">
          <x14:cfRule type="dataBar" id="{D456D812-08A0-47B3-A7ED-CEADF0341E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F4:F23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C704-3CFB-40CD-A9F8-ABF74ADF63A7}">
  <dimension ref="A3:E15"/>
  <sheetViews>
    <sheetView workbookViewId="0">
      <selection activeCell="G16" sqref="G16"/>
    </sheetView>
  </sheetViews>
  <sheetFormatPr defaultRowHeight="14.4" x14ac:dyDescent="0.3"/>
  <cols>
    <col min="1" max="1" width="13.77734375" bestFit="1" customWidth="1"/>
    <col min="2" max="2" width="19.77734375" bestFit="1" customWidth="1"/>
    <col min="4" max="4" width="13.77734375" bestFit="1" customWidth="1"/>
  </cols>
  <sheetData>
    <row r="3" spans="1:5" x14ac:dyDescent="0.3">
      <c r="A3" s="13" t="s">
        <v>345</v>
      </c>
      <c r="B3" t="s">
        <v>347</v>
      </c>
      <c r="D3" t="s">
        <v>7</v>
      </c>
      <c r="E3" t="s">
        <v>356</v>
      </c>
    </row>
    <row r="4" spans="1:5" x14ac:dyDescent="0.3">
      <c r="A4" s="14" t="s">
        <v>37</v>
      </c>
      <c r="B4" s="43">
        <v>598705</v>
      </c>
      <c r="D4" s="14" t="s">
        <v>37</v>
      </c>
      <c r="E4">
        <v>598705</v>
      </c>
    </row>
    <row r="5" spans="1:5" x14ac:dyDescent="0.3">
      <c r="A5" s="14" t="s">
        <v>71</v>
      </c>
      <c r="B5" s="43">
        <v>95400</v>
      </c>
      <c r="D5" s="14" t="s">
        <v>71</v>
      </c>
      <c r="E5">
        <v>95400</v>
      </c>
    </row>
    <row r="6" spans="1:5" x14ac:dyDescent="0.3">
      <c r="A6" s="14" t="s">
        <v>115</v>
      </c>
      <c r="B6" s="43">
        <v>45570</v>
      </c>
      <c r="D6" s="14" t="s">
        <v>115</v>
      </c>
      <c r="E6">
        <v>45570</v>
      </c>
    </row>
    <row r="7" spans="1:5" x14ac:dyDescent="0.3">
      <c r="A7" s="14" t="s">
        <v>55</v>
      </c>
      <c r="B7" s="43">
        <v>333086</v>
      </c>
      <c r="D7" s="14" t="s">
        <v>55</v>
      </c>
      <c r="E7">
        <v>333086</v>
      </c>
    </row>
    <row r="8" spans="1:5" x14ac:dyDescent="0.3">
      <c r="A8" s="14" t="s">
        <v>105</v>
      </c>
      <c r="B8" s="43">
        <v>192492</v>
      </c>
      <c r="D8" s="14" t="s">
        <v>105</v>
      </c>
      <c r="E8">
        <v>192492</v>
      </c>
    </row>
    <row r="9" spans="1:5" x14ac:dyDescent="0.3">
      <c r="A9" s="14" t="s">
        <v>65</v>
      </c>
      <c r="B9" s="43">
        <v>284790</v>
      </c>
      <c r="D9" s="14" t="s">
        <v>65</v>
      </c>
      <c r="E9">
        <v>284790</v>
      </c>
    </row>
    <row r="10" spans="1:5" x14ac:dyDescent="0.3">
      <c r="A10" s="14" t="s">
        <v>184</v>
      </c>
      <c r="B10" s="43">
        <v>465180</v>
      </c>
      <c r="D10" s="14" t="s">
        <v>184</v>
      </c>
      <c r="E10">
        <v>465180</v>
      </c>
    </row>
    <row r="11" spans="1:5" x14ac:dyDescent="0.3">
      <c r="A11" s="14" t="s">
        <v>47</v>
      </c>
      <c r="B11" s="43">
        <v>243510</v>
      </c>
      <c r="D11" s="14" t="s">
        <v>47</v>
      </c>
      <c r="E11">
        <v>243510</v>
      </c>
    </row>
    <row r="12" spans="1:5" x14ac:dyDescent="0.3">
      <c r="A12" s="14" t="s">
        <v>25</v>
      </c>
      <c r="B12" s="43">
        <v>89196</v>
      </c>
      <c r="D12" s="14" t="s">
        <v>25</v>
      </c>
      <c r="E12">
        <v>89196</v>
      </c>
    </row>
    <row r="13" spans="1:5" x14ac:dyDescent="0.3">
      <c r="A13" s="14" t="s">
        <v>142</v>
      </c>
      <c r="B13" s="43">
        <v>187480</v>
      </c>
      <c r="D13" s="14" t="s">
        <v>142</v>
      </c>
      <c r="E13">
        <v>187480</v>
      </c>
    </row>
    <row r="14" spans="1:5" x14ac:dyDescent="0.3">
      <c r="A14" s="14" t="s">
        <v>152</v>
      </c>
      <c r="B14" s="43">
        <v>151150</v>
      </c>
      <c r="D14" s="14" t="s">
        <v>152</v>
      </c>
      <c r="E14">
        <v>151150</v>
      </c>
    </row>
    <row r="15" spans="1:5" x14ac:dyDescent="0.3">
      <c r="A15" s="14" t="s">
        <v>346</v>
      </c>
      <c r="B15" s="43">
        <v>2686559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5130-ED20-43A9-B475-665A552F8A52}">
  <dimension ref="A1:X111"/>
  <sheetViews>
    <sheetView topLeftCell="K1" workbookViewId="0">
      <selection activeCell="Y3" sqref="Y3"/>
    </sheetView>
  </sheetViews>
  <sheetFormatPr defaultRowHeight="14.4" x14ac:dyDescent="0.3"/>
  <cols>
    <col min="1" max="1" width="8.5546875" bestFit="1" customWidth="1"/>
    <col min="2" max="2" width="10.6640625" bestFit="1" customWidth="1"/>
    <col min="3" max="3" width="11.88671875" bestFit="1" customWidth="1"/>
    <col min="4" max="4" width="15.21875" bestFit="1" customWidth="1"/>
    <col min="5" max="5" width="4.21875" bestFit="1" customWidth="1"/>
    <col min="7" max="7" width="13.5546875" bestFit="1" customWidth="1"/>
    <col min="8" max="8" width="13.77734375" bestFit="1" customWidth="1"/>
    <col min="9" max="9" width="14.33203125" bestFit="1" customWidth="1"/>
    <col min="10" max="10" width="10.44140625" bestFit="1" customWidth="1"/>
    <col min="11" max="11" width="9.88671875" bestFit="1" customWidth="1"/>
    <col min="12" max="12" width="13.77734375" bestFit="1" customWidth="1"/>
    <col min="14" max="14" width="9.6640625" bestFit="1" customWidth="1"/>
    <col min="16" max="16" width="16.44140625" bestFit="1" customWidth="1"/>
    <col min="17" max="17" width="14.109375" bestFit="1" customWidth="1"/>
    <col min="18" max="18" width="13.21875" bestFit="1" customWidth="1"/>
    <col min="19" max="19" width="7" bestFit="1" customWidth="1"/>
  </cols>
  <sheetData>
    <row r="1" spans="1:2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10" t="s">
        <v>19</v>
      </c>
    </row>
    <row r="2" spans="1:24" x14ac:dyDescent="0.3">
      <c r="A2" s="4" t="s">
        <v>20</v>
      </c>
      <c r="B2" s="11">
        <v>45658</v>
      </c>
      <c r="C2" s="5" t="s">
        <v>21</v>
      </c>
      <c r="D2" s="5" t="s">
        <v>22</v>
      </c>
      <c r="E2" s="5">
        <v>25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5" t="s">
        <v>29</v>
      </c>
      <c r="M2" s="5">
        <v>1</v>
      </c>
      <c r="N2" s="5">
        <v>60000</v>
      </c>
      <c r="O2" s="5">
        <v>5</v>
      </c>
      <c r="P2" s="5" t="s">
        <v>30</v>
      </c>
      <c r="Q2" s="5" t="s">
        <v>31</v>
      </c>
      <c r="R2" s="5">
        <v>57000</v>
      </c>
      <c r="S2" s="5">
        <v>45000</v>
      </c>
      <c r="T2" s="8">
        <v>12000</v>
      </c>
      <c r="V2" t="str">
        <f>IF(E2&lt;=25,"18-25",
IF(E2&lt;=35,"26-35",
IF(E2&lt;=45,"36-45","46+")))</f>
        <v>18-25</v>
      </c>
      <c r="X2">
        <f>COUNTIF(V:V,"18-25")</f>
        <v>13</v>
      </c>
    </row>
    <row r="3" spans="1:24" x14ac:dyDescent="0.3">
      <c r="A3" s="6" t="s">
        <v>32</v>
      </c>
      <c r="B3" s="12">
        <v>45660</v>
      </c>
      <c r="C3" s="7" t="s">
        <v>33</v>
      </c>
      <c r="D3" s="7" t="s">
        <v>34</v>
      </c>
      <c r="E3" s="7">
        <v>32</v>
      </c>
      <c r="F3" s="7" t="s">
        <v>35</v>
      </c>
      <c r="G3" s="7" t="s">
        <v>36</v>
      </c>
      <c r="H3" s="7" t="s">
        <v>37</v>
      </c>
      <c r="I3" s="7" t="s">
        <v>38</v>
      </c>
      <c r="J3" s="7" t="s">
        <v>39</v>
      </c>
      <c r="K3" s="7" t="s">
        <v>40</v>
      </c>
      <c r="L3" s="7" t="s">
        <v>41</v>
      </c>
      <c r="M3" s="7">
        <v>4</v>
      </c>
      <c r="N3" s="7">
        <v>3000</v>
      </c>
      <c r="O3" s="7">
        <v>10</v>
      </c>
      <c r="P3" s="7" t="s">
        <v>42</v>
      </c>
      <c r="Q3" s="7" t="s">
        <v>31</v>
      </c>
      <c r="R3" s="7">
        <v>10800</v>
      </c>
      <c r="S3" s="7">
        <v>7000</v>
      </c>
      <c r="T3" s="9">
        <v>3800</v>
      </c>
      <c r="V3" t="str">
        <f t="shared" ref="V3:V66" si="0">IF(E3&lt;=25,"18-25",
IF(E3&lt;=35,"26-35",
IF(E3&lt;=45,"36-45","46+")))</f>
        <v>26-35</v>
      </c>
      <c r="X3">
        <f>COUNTIF(V:V,"26-35")</f>
        <v>35</v>
      </c>
    </row>
    <row r="4" spans="1:24" x14ac:dyDescent="0.3">
      <c r="A4" s="4" t="s">
        <v>43</v>
      </c>
      <c r="B4" s="11">
        <v>45662</v>
      </c>
      <c r="C4" s="5" t="s">
        <v>44</v>
      </c>
      <c r="D4" s="5" t="s">
        <v>45</v>
      </c>
      <c r="E4" s="5">
        <v>28</v>
      </c>
      <c r="F4" s="5" t="s">
        <v>23</v>
      </c>
      <c r="G4" s="5" t="s">
        <v>46</v>
      </c>
      <c r="H4" s="5" t="s">
        <v>47</v>
      </c>
      <c r="I4" s="5" t="s">
        <v>26</v>
      </c>
      <c r="J4" s="5" t="s">
        <v>48</v>
      </c>
      <c r="K4" s="5" t="s">
        <v>49</v>
      </c>
      <c r="L4" s="5" t="s">
        <v>50</v>
      </c>
      <c r="M4" s="5">
        <v>2</v>
      </c>
      <c r="N4" s="5">
        <v>25000</v>
      </c>
      <c r="O4" s="5">
        <v>8</v>
      </c>
      <c r="P4" s="5" t="s">
        <v>30</v>
      </c>
      <c r="Q4" s="5" t="s">
        <v>31</v>
      </c>
      <c r="R4" s="5">
        <v>46000</v>
      </c>
      <c r="S4" s="5">
        <v>36000</v>
      </c>
      <c r="T4" s="8">
        <v>10000</v>
      </c>
      <c r="V4" t="str">
        <f t="shared" si="0"/>
        <v>26-35</v>
      </c>
      <c r="X4">
        <f>COUNTIF(V:V,"36-45")</f>
        <v>23</v>
      </c>
    </row>
    <row r="5" spans="1:24" x14ac:dyDescent="0.3">
      <c r="A5" s="6" t="s">
        <v>51</v>
      </c>
      <c r="B5" s="12">
        <v>45665</v>
      </c>
      <c r="C5" s="7" t="s">
        <v>52</v>
      </c>
      <c r="D5" s="7" t="s">
        <v>53</v>
      </c>
      <c r="E5" s="7">
        <v>35</v>
      </c>
      <c r="F5" s="7" t="s">
        <v>35</v>
      </c>
      <c r="G5" s="7" t="s">
        <v>54</v>
      </c>
      <c r="H5" s="7" t="s">
        <v>55</v>
      </c>
      <c r="I5" s="7" t="s">
        <v>38</v>
      </c>
      <c r="J5" s="7" t="s">
        <v>56</v>
      </c>
      <c r="K5" s="7" t="s">
        <v>57</v>
      </c>
      <c r="L5" s="7" t="s">
        <v>58</v>
      </c>
      <c r="M5" s="7">
        <v>5</v>
      </c>
      <c r="N5" s="7">
        <v>1500</v>
      </c>
      <c r="O5" s="7">
        <v>5</v>
      </c>
      <c r="P5" s="7" t="s">
        <v>59</v>
      </c>
      <c r="Q5" s="7" t="s">
        <v>60</v>
      </c>
      <c r="R5" s="7">
        <v>7125</v>
      </c>
      <c r="S5" s="7">
        <v>5000</v>
      </c>
      <c r="T5" s="9">
        <v>2125</v>
      </c>
      <c r="V5" t="str">
        <f t="shared" si="0"/>
        <v>26-35</v>
      </c>
      <c r="X5">
        <f>COUNTIF(V:V,"46+")</f>
        <v>39</v>
      </c>
    </row>
    <row r="6" spans="1:24" x14ac:dyDescent="0.3">
      <c r="A6" s="4" t="s">
        <v>61</v>
      </c>
      <c r="B6" s="11">
        <v>45669</v>
      </c>
      <c r="C6" s="5" t="s">
        <v>62</v>
      </c>
      <c r="D6" s="5" t="s">
        <v>63</v>
      </c>
      <c r="E6" s="5">
        <v>40</v>
      </c>
      <c r="F6" s="5" t="s">
        <v>23</v>
      </c>
      <c r="G6" s="5" t="s">
        <v>64</v>
      </c>
      <c r="H6" s="5" t="s">
        <v>65</v>
      </c>
      <c r="I6" s="5" t="s">
        <v>26</v>
      </c>
      <c r="J6" s="5" t="s">
        <v>66</v>
      </c>
      <c r="K6" s="5" t="s">
        <v>28</v>
      </c>
      <c r="L6" s="5" t="s">
        <v>67</v>
      </c>
      <c r="M6" s="5">
        <v>1</v>
      </c>
      <c r="N6" s="5">
        <v>30000</v>
      </c>
      <c r="O6" s="5">
        <v>12</v>
      </c>
      <c r="P6" s="5" t="s">
        <v>42</v>
      </c>
      <c r="Q6" s="5" t="s">
        <v>31</v>
      </c>
      <c r="R6" s="5">
        <v>26400</v>
      </c>
      <c r="S6" s="5">
        <v>21000</v>
      </c>
      <c r="T6" s="8">
        <v>5400</v>
      </c>
      <c r="V6" t="str">
        <f t="shared" si="0"/>
        <v>36-45</v>
      </c>
    </row>
    <row r="7" spans="1:24" x14ac:dyDescent="0.3">
      <c r="A7" s="6" t="s">
        <v>68</v>
      </c>
      <c r="B7" s="12">
        <v>45672</v>
      </c>
      <c r="C7" s="7" t="s">
        <v>69</v>
      </c>
      <c r="D7" s="7" t="s">
        <v>70</v>
      </c>
      <c r="E7" s="7">
        <v>27</v>
      </c>
      <c r="F7" s="7" t="s">
        <v>35</v>
      </c>
      <c r="G7" s="7" t="s">
        <v>71</v>
      </c>
      <c r="H7" s="7" t="s">
        <v>71</v>
      </c>
      <c r="I7" s="7" t="s">
        <v>38</v>
      </c>
      <c r="J7" s="7" t="s">
        <v>72</v>
      </c>
      <c r="K7" s="7" t="s">
        <v>73</v>
      </c>
      <c r="L7" s="7" t="s">
        <v>74</v>
      </c>
      <c r="M7" s="7">
        <v>3</v>
      </c>
      <c r="N7" s="7">
        <v>2000</v>
      </c>
      <c r="O7" s="7">
        <v>10</v>
      </c>
      <c r="P7" s="7" t="s">
        <v>30</v>
      </c>
      <c r="Q7" s="7" t="s">
        <v>31</v>
      </c>
      <c r="R7" s="7">
        <v>5400</v>
      </c>
      <c r="S7" s="7">
        <v>3500</v>
      </c>
      <c r="T7" s="9">
        <v>1900</v>
      </c>
      <c r="V7" t="str">
        <f t="shared" si="0"/>
        <v>26-35</v>
      </c>
    </row>
    <row r="8" spans="1:24" x14ac:dyDescent="0.3">
      <c r="A8" s="4" t="s">
        <v>75</v>
      </c>
      <c r="B8" s="11">
        <v>45675</v>
      </c>
      <c r="C8" s="5" t="s">
        <v>76</v>
      </c>
      <c r="D8" s="5" t="s">
        <v>77</v>
      </c>
      <c r="E8" s="5">
        <v>30</v>
      </c>
      <c r="F8" s="5" t="s">
        <v>23</v>
      </c>
      <c r="G8" s="5" t="s">
        <v>78</v>
      </c>
      <c r="H8" s="5" t="s">
        <v>65</v>
      </c>
      <c r="I8" s="5" t="s">
        <v>26</v>
      </c>
      <c r="J8" s="5" t="s">
        <v>79</v>
      </c>
      <c r="K8" s="5" t="s">
        <v>40</v>
      </c>
      <c r="L8" s="5" t="s">
        <v>80</v>
      </c>
      <c r="M8" s="5">
        <v>2</v>
      </c>
      <c r="N8" s="5">
        <v>8000</v>
      </c>
      <c r="O8" s="5">
        <v>7</v>
      </c>
      <c r="P8" s="5" t="s">
        <v>42</v>
      </c>
      <c r="Q8" s="5" t="s">
        <v>31</v>
      </c>
      <c r="R8" s="5">
        <v>14880</v>
      </c>
      <c r="S8" s="5">
        <v>11000</v>
      </c>
      <c r="T8" s="8">
        <v>3880</v>
      </c>
      <c r="V8" t="str">
        <f t="shared" si="0"/>
        <v>26-35</v>
      </c>
    </row>
    <row r="9" spans="1:24" x14ac:dyDescent="0.3">
      <c r="A9" s="6" t="s">
        <v>81</v>
      </c>
      <c r="B9" s="12">
        <v>45679</v>
      </c>
      <c r="C9" s="7" t="s">
        <v>82</v>
      </c>
      <c r="D9" s="7" t="s">
        <v>83</v>
      </c>
      <c r="E9" s="7">
        <v>26</v>
      </c>
      <c r="F9" s="7" t="s">
        <v>35</v>
      </c>
      <c r="G9" s="7" t="s">
        <v>24</v>
      </c>
      <c r="H9" s="7" t="s">
        <v>25</v>
      </c>
      <c r="I9" s="7" t="s">
        <v>26</v>
      </c>
      <c r="J9" s="7" t="s">
        <v>84</v>
      </c>
      <c r="K9" s="7" t="s">
        <v>49</v>
      </c>
      <c r="L9" s="7" t="s">
        <v>85</v>
      </c>
      <c r="M9" s="7">
        <v>3</v>
      </c>
      <c r="N9" s="7">
        <v>4000</v>
      </c>
      <c r="O9" s="7">
        <v>5</v>
      </c>
      <c r="P9" s="7" t="s">
        <v>30</v>
      </c>
      <c r="Q9" s="7" t="s">
        <v>86</v>
      </c>
      <c r="R9" s="7">
        <v>11400</v>
      </c>
      <c r="S9" s="7">
        <v>8000</v>
      </c>
      <c r="T9" s="9">
        <v>3400</v>
      </c>
      <c r="V9" t="str">
        <f t="shared" si="0"/>
        <v>26-35</v>
      </c>
    </row>
    <row r="10" spans="1:24" x14ac:dyDescent="0.3">
      <c r="A10" s="4" t="s">
        <v>87</v>
      </c>
      <c r="B10" s="11">
        <v>45682</v>
      </c>
      <c r="C10" s="5" t="s">
        <v>88</v>
      </c>
      <c r="D10" s="5" t="s">
        <v>89</v>
      </c>
      <c r="E10" s="5">
        <v>45</v>
      </c>
      <c r="F10" s="5" t="s">
        <v>23</v>
      </c>
      <c r="G10" s="5" t="s">
        <v>46</v>
      </c>
      <c r="H10" s="5" t="s">
        <v>47</v>
      </c>
      <c r="I10" s="5" t="s">
        <v>38</v>
      </c>
      <c r="J10" s="5" t="s">
        <v>90</v>
      </c>
      <c r="K10" s="5" t="s">
        <v>28</v>
      </c>
      <c r="L10" s="5" t="s">
        <v>91</v>
      </c>
      <c r="M10" s="5">
        <v>2</v>
      </c>
      <c r="N10" s="5">
        <v>12000</v>
      </c>
      <c r="O10" s="5">
        <v>10</v>
      </c>
      <c r="P10" s="5" t="s">
        <v>42</v>
      </c>
      <c r="Q10" s="5" t="s">
        <v>31</v>
      </c>
      <c r="R10" s="5">
        <v>21600</v>
      </c>
      <c r="S10" s="5">
        <v>16000</v>
      </c>
      <c r="T10" s="8">
        <v>5600</v>
      </c>
      <c r="V10" t="str">
        <f t="shared" si="0"/>
        <v>36-45</v>
      </c>
    </row>
    <row r="11" spans="1:24" x14ac:dyDescent="0.3">
      <c r="A11" s="6" t="s">
        <v>92</v>
      </c>
      <c r="B11" s="12">
        <v>45685</v>
      </c>
      <c r="C11" s="7" t="s">
        <v>93</v>
      </c>
      <c r="D11" s="7" t="s">
        <v>94</v>
      </c>
      <c r="E11" s="7">
        <v>38</v>
      </c>
      <c r="F11" s="7" t="s">
        <v>35</v>
      </c>
      <c r="G11" s="7" t="s">
        <v>36</v>
      </c>
      <c r="H11" s="7" t="s">
        <v>37</v>
      </c>
      <c r="I11" s="7" t="s">
        <v>26</v>
      </c>
      <c r="J11" s="7" t="s">
        <v>95</v>
      </c>
      <c r="K11" s="7" t="s">
        <v>57</v>
      </c>
      <c r="L11" s="7" t="s">
        <v>96</v>
      </c>
      <c r="M11" s="7">
        <v>2</v>
      </c>
      <c r="N11" s="7">
        <v>5000</v>
      </c>
      <c r="O11" s="7">
        <v>15</v>
      </c>
      <c r="P11" s="7" t="s">
        <v>59</v>
      </c>
      <c r="Q11" s="7" t="s">
        <v>31</v>
      </c>
      <c r="R11" s="7">
        <v>8500</v>
      </c>
      <c r="S11" s="7">
        <v>6000</v>
      </c>
      <c r="T11" s="9">
        <v>2500</v>
      </c>
      <c r="V11" t="str">
        <f t="shared" si="0"/>
        <v>36-45</v>
      </c>
    </row>
    <row r="12" spans="1:24" x14ac:dyDescent="0.3">
      <c r="A12" s="4" t="s">
        <v>97</v>
      </c>
      <c r="B12" s="11">
        <v>45729</v>
      </c>
      <c r="C12" s="5" t="s">
        <v>98</v>
      </c>
      <c r="D12" s="5" t="s">
        <v>99</v>
      </c>
      <c r="E12" s="5">
        <v>33</v>
      </c>
      <c r="F12" s="5" t="s">
        <v>23</v>
      </c>
      <c r="G12" s="5" t="s">
        <v>54</v>
      </c>
      <c r="H12" s="5" t="s">
        <v>55</v>
      </c>
      <c r="I12" s="5" t="s">
        <v>26</v>
      </c>
      <c r="J12" s="5" t="s">
        <v>100</v>
      </c>
      <c r="K12" s="5" t="s">
        <v>28</v>
      </c>
      <c r="L12" s="5" t="s">
        <v>29</v>
      </c>
      <c r="M12" s="5">
        <v>4</v>
      </c>
      <c r="N12" s="5">
        <v>55000</v>
      </c>
      <c r="O12" s="5">
        <v>0</v>
      </c>
      <c r="P12" s="5" t="s">
        <v>30</v>
      </c>
      <c r="Q12" s="5" t="s">
        <v>31</v>
      </c>
      <c r="R12" s="5">
        <v>220000</v>
      </c>
      <c r="S12" s="5">
        <v>168000</v>
      </c>
      <c r="T12" s="8">
        <v>52000</v>
      </c>
      <c r="V12" t="str">
        <f t="shared" si="0"/>
        <v>26-35</v>
      </c>
    </row>
    <row r="13" spans="1:24" x14ac:dyDescent="0.3">
      <c r="A13" s="6" t="s">
        <v>101</v>
      </c>
      <c r="B13" s="12">
        <v>45702</v>
      </c>
      <c r="C13" s="7" t="s">
        <v>102</v>
      </c>
      <c r="D13" s="7" t="s">
        <v>103</v>
      </c>
      <c r="E13" s="7">
        <v>30</v>
      </c>
      <c r="F13" s="7" t="s">
        <v>23</v>
      </c>
      <c r="G13" s="7" t="s">
        <v>104</v>
      </c>
      <c r="H13" s="7" t="s">
        <v>105</v>
      </c>
      <c r="I13" s="7" t="s">
        <v>38</v>
      </c>
      <c r="J13" s="7" t="s">
        <v>100</v>
      </c>
      <c r="K13" s="7" t="s">
        <v>40</v>
      </c>
      <c r="L13" s="7" t="s">
        <v>106</v>
      </c>
      <c r="M13" s="7">
        <v>3</v>
      </c>
      <c r="N13" s="7">
        <v>1500</v>
      </c>
      <c r="O13" s="7">
        <v>0</v>
      </c>
      <c r="P13" s="7" t="s">
        <v>42</v>
      </c>
      <c r="Q13" s="7" t="s">
        <v>60</v>
      </c>
      <c r="R13" s="7">
        <v>4500</v>
      </c>
      <c r="S13" s="7">
        <v>2700</v>
      </c>
      <c r="T13" s="9">
        <v>1800</v>
      </c>
      <c r="V13" t="str">
        <f t="shared" si="0"/>
        <v>26-35</v>
      </c>
    </row>
    <row r="14" spans="1:24" x14ac:dyDescent="0.3">
      <c r="A14" s="4" t="s">
        <v>107</v>
      </c>
      <c r="B14" s="11">
        <v>45710</v>
      </c>
      <c r="C14" s="5" t="s">
        <v>108</v>
      </c>
      <c r="D14" s="5" t="s">
        <v>109</v>
      </c>
      <c r="E14" s="5">
        <v>39</v>
      </c>
      <c r="F14" s="5" t="s">
        <v>23</v>
      </c>
      <c r="G14" s="5" t="s">
        <v>36</v>
      </c>
      <c r="H14" s="5" t="s">
        <v>37</v>
      </c>
      <c r="I14" s="5" t="s">
        <v>26</v>
      </c>
      <c r="J14" s="5" t="s">
        <v>110</v>
      </c>
      <c r="K14" s="5" t="s">
        <v>57</v>
      </c>
      <c r="L14" s="5" t="s">
        <v>58</v>
      </c>
      <c r="M14" s="5">
        <v>3</v>
      </c>
      <c r="N14" s="5">
        <v>1800</v>
      </c>
      <c r="O14" s="5">
        <v>15</v>
      </c>
      <c r="P14" s="5" t="s">
        <v>59</v>
      </c>
      <c r="Q14" s="5" t="s">
        <v>31</v>
      </c>
      <c r="R14" s="5">
        <v>4590</v>
      </c>
      <c r="S14" s="5">
        <v>3000</v>
      </c>
      <c r="T14" s="8">
        <v>1590</v>
      </c>
      <c r="V14" t="str">
        <f t="shared" si="0"/>
        <v>36-45</v>
      </c>
    </row>
    <row r="15" spans="1:24" x14ac:dyDescent="0.3">
      <c r="A15" s="6" t="s">
        <v>111</v>
      </c>
      <c r="B15" s="12">
        <v>45735</v>
      </c>
      <c r="C15" s="7" t="s">
        <v>112</v>
      </c>
      <c r="D15" s="7" t="s">
        <v>113</v>
      </c>
      <c r="E15" s="7">
        <v>23</v>
      </c>
      <c r="F15" s="7" t="s">
        <v>23</v>
      </c>
      <c r="G15" s="7" t="s">
        <v>114</v>
      </c>
      <c r="H15" s="7" t="s">
        <v>115</v>
      </c>
      <c r="I15" s="7" t="s">
        <v>38</v>
      </c>
      <c r="J15" s="7" t="s">
        <v>116</v>
      </c>
      <c r="K15" s="7" t="s">
        <v>73</v>
      </c>
      <c r="L15" s="7" t="s">
        <v>117</v>
      </c>
      <c r="M15" s="7">
        <v>2</v>
      </c>
      <c r="N15" s="7">
        <v>2500</v>
      </c>
      <c r="O15" s="7">
        <v>0</v>
      </c>
      <c r="P15" s="7" t="s">
        <v>30</v>
      </c>
      <c r="Q15" s="7" t="s">
        <v>31</v>
      </c>
      <c r="R15" s="7">
        <v>5000</v>
      </c>
      <c r="S15" s="7">
        <v>3200</v>
      </c>
      <c r="T15" s="9">
        <v>1800</v>
      </c>
      <c r="V15" t="str">
        <f t="shared" si="0"/>
        <v>18-25</v>
      </c>
    </row>
    <row r="16" spans="1:24" x14ac:dyDescent="0.3">
      <c r="A16" s="4" t="s">
        <v>118</v>
      </c>
      <c r="B16" s="11">
        <v>45738</v>
      </c>
      <c r="C16" s="5" t="s">
        <v>119</v>
      </c>
      <c r="D16" s="5" t="s">
        <v>109</v>
      </c>
      <c r="E16" s="5">
        <v>24</v>
      </c>
      <c r="F16" s="5" t="s">
        <v>23</v>
      </c>
      <c r="G16" s="5" t="s">
        <v>78</v>
      </c>
      <c r="H16" s="5" t="s">
        <v>65</v>
      </c>
      <c r="I16" s="5" t="s">
        <v>38</v>
      </c>
      <c r="J16" s="5" t="s">
        <v>120</v>
      </c>
      <c r="K16" s="5" t="s">
        <v>57</v>
      </c>
      <c r="L16" s="5" t="s">
        <v>121</v>
      </c>
      <c r="M16" s="5">
        <v>3</v>
      </c>
      <c r="N16" s="5">
        <v>2500</v>
      </c>
      <c r="O16" s="5">
        <v>10</v>
      </c>
      <c r="P16" s="5" t="s">
        <v>42</v>
      </c>
      <c r="Q16" s="5" t="s">
        <v>31</v>
      </c>
      <c r="R16" s="5">
        <v>6750</v>
      </c>
      <c r="S16" s="5">
        <v>4500</v>
      </c>
      <c r="T16" s="8">
        <v>2250</v>
      </c>
      <c r="V16" t="str">
        <f t="shared" si="0"/>
        <v>18-25</v>
      </c>
    </row>
    <row r="17" spans="1:22" x14ac:dyDescent="0.3">
      <c r="A17" s="6" t="s">
        <v>122</v>
      </c>
      <c r="B17" s="12">
        <v>45733</v>
      </c>
      <c r="C17" s="7" t="s">
        <v>123</v>
      </c>
      <c r="D17" s="7" t="s">
        <v>124</v>
      </c>
      <c r="E17" s="7">
        <v>58</v>
      </c>
      <c r="F17" s="7" t="s">
        <v>23</v>
      </c>
      <c r="G17" s="7" t="s">
        <v>46</v>
      </c>
      <c r="H17" s="7" t="s">
        <v>47</v>
      </c>
      <c r="I17" s="7" t="s">
        <v>26</v>
      </c>
      <c r="J17" s="7" t="s">
        <v>125</v>
      </c>
      <c r="K17" s="7" t="s">
        <v>40</v>
      </c>
      <c r="L17" s="7" t="s">
        <v>106</v>
      </c>
      <c r="M17" s="7">
        <v>3</v>
      </c>
      <c r="N17" s="7">
        <v>1500</v>
      </c>
      <c r="O17" s="7">
        <v>15</v>
      </c>
      <c r="P17" s="7" t="s">
        <v>42</v>
      </c>
      <c r="Q17" s="7" t="s">
        <v>31</v>
      </c>
      <c r="R17" s="7">
        <v>3825</v>
      </c>
      <c r="S17" s="7">
        <v>2700</v>
      </c>
      <c r="T17" s="9">
        <v>1125</v>
      </c>
      <c r="V17" t="str">
        <f t="shared" si="0"/>
        <v>46+</v>
      </c>
    </row>
    <row r="18" spans="1:22" x14ac:dyDescent="0.3">
      <c r="A18" s="4" t="s">
        <v>126</v>
      </c>
      <c r="B18" s="11">
        <v>45738</v>
      </c>
      <c r="C18" s="5" t="s">
        <v>127</v>
      </c>
      <c r="D18" s="5" t="s">
        <v>128</v>
      </c>
      <c r="E18" s="5">
        <v>38</v>
      </c>
      <c r="F18" s="5" t="s">
        <v>23</v>
      </c>
      <c r="G18" s="5" t="s">
        <v>78</v>
      </c>
      <c r="H18" s="5" t="s">
        <v>65</v>
      </c>
      <c r="I18" s="5" t="s">
        <v>38</v>
      </c>
      <c r="J18" s="5" t="s">
        <v>116</v>
      </c>
      <c r="K18" s="5" t="s">
        <v>28</v>
      </c>
      <c r="L18" s="5" t="s">
        <v>67</v>
      </c>
      <c r="M18" s="5">
        <v>3</v>
      </c>
      <c r="N18" s="5">
        <v>25000</v>
      </c>
      <c r="O18" s="5">
        <v>5</v>
      </c>
      <c r="P18" s="5" t="s">
        <v>129</v>
      </c>
      <c r="Q18" s="5" t="s">
        <v>60</v>
      </c>
      <c r="R18" s="5">
        <v>71250</v>
      </c>
      <c r="S18" s="5">
        <v>54000</v>
      </c>
      <c r="T18" s="8">
        <v>17250</v>
      </c>
      <c r="V18" t="str">
        <f t="shared" si="0"/>
        <v>36-45</v>
      </c>
    </row>
    <row r="19" spans="1:22" x14ac:dyDescent="0.3">
      <c r="A19" s="6" t="s">
        <v>130</v>
      </c>
      <c r="B19" s="12">
        <v>45730</v>
      </c>
      <c r="C19" s="7" t="s">
        <v>112</v>
      </c>
      <c r="D19" s="7" t="s">
        <v>99</v>
      </c>
      <c r="E19" s="7">
        <v>26</v>
      </c>
      <c r="F19" s="7" t="s">
        <v>23</v>
      </c>
      <c r="G19" s="7" t="s">
        <v>54</v>
      </c>
      <c r="H19" s="7" t="s">
        <v>55</v>
      </c>
      <c r="I19" s="7" t="s">
        <v>38</v>
      </c>
      <c r="J19" s="7" t="s">
        <v>100</v>
      </c>
      <c r="K19" s="7" t="s">
        <v>73</v>
      </c>
      <c r="L19" s="7" t="s">
        <v>131</v>
      </c>
      <c r="M19" s="7">
        <v>4</v>
      </c>
      <c r="N19" s="7">
        <v>2000</v>
      </c>
      <c r="O19" s="7">
        <v>10</v>
      </c>
      <c r="P19" s="7" t="s">
        <v>42</v>
      </c>
      <c r="Q19" s="7" t="s">
        <v>31</v>
      </c>
      <c r="R19" s="7">
        <v>7200</v>
      </c>
      <c r="S19" s="7">
        <v>5200</v>
      </c>
      <c r="T19" s="9">
        <v>2000</v>
      </c>
      <c r="V19" t="str">
        <f t="shared" si="0"/>
        <v>26-35</v>
      </c>
    </row>
    <row r="20" spans="1:22" x14ac:dyDescent="0.3">
      <c r="A20" s="4" t="s">
        <v>132</v>
      </c>
      <c r="B20" s="11">
        <v>45721</v>
      </c>
      <c r="C20" s="5" t="s">
        <v>133</v>
      </c>
      <c r="D20" s="5" t="s">
        <v>128</v>
      </c>
      <c r="E20" s="5">
        <v>25</v>
      </c>
      <c r="F20" s="5" t="s">
        <v>23</v>
      </c>
      <c r="G20" s="5" t="s">
        <v>46</v>
      </c>
      <c r="H20" s="5" t="s">
        <v>47</v>
      </c>
      <c r="I20" s="5" t="s">
        <v>26</v>
      </c>
      <c r="J20" s="5" t="s">
        <v>125</v>
      </c>
      <c r="K20" s="5" t="s">
        <v>57</v>
      </c>
      <c r="L20" s="5" t="s">
        <v>58</v>
      </c>
      <c r="M20" s="5">
        <v>4</v>
      </c>
      <c r="N20" s="5">
        <v>1800</v>
      </c>
      <c r="O20" s="5">
        <v>15</v>
      </c>
      <c r="P20" s="5" t="s">
        <v>129</v>
      </c>
      <c r="Q20" s="5" t="s">
        <v>86</v>
      </c>
      <c r="R20" s="5">
        <v>6120</v>
      </c>
      <c r="S20" s="5">
        <v>4000</v>
      </c>
      <c r="T20" s="8">
        <v>2120</v>
      </c>
      <c r="V20" t="str">
        <f t="shared" si="0"/>
        <v>18-25</v>
      </c>
    </row>
    <row r="21" spans="1:22" x14ac:dyDescent="0.3">
      <c r="A21" s="6" t="s">
        <v>134</v>
      </c>
      <c r="B21" s="12">
        <v>45705</v>
      </c>
      <c r="C21" s="7" t="s">
        <v>135</v>
      </c>
      <c r="D21" s="7" t="s">
        <v>136</v>
      </c>
      <c r="E21" s="7">
        <v>52</v>
      </c>
      <c r="F21" s="7" t="s">
        <v>23</v>
      </c>
      <c r="G21" s="7" t="s">
        <v>137</v>
      </c>
      <c r="H21" s="7" t="s">
        <v>37</v>
      </c>
      <c r="I21" s="7" t="s">
        <v>38</v>
      </c>
      <c r="J21" s="7" t="s">
        <v>138</v>
      </c>
      <c r="K21" s="7" t="s">
        <v>49</v>
      </c>
      <c r="L21" s="7" t="s">
        <v>50</v>
      </c>
      <c r="M21" s="7">
        <v>4</v>
      </c>
      <c r="N21" s="7">
        <v>30000</v>
      </c>
      <c r="O21" s="7">
        <v>5</v>
      </c>
      <c r="P21" s="7" t="s">
        <v>129</v>
      </c>
      <c r="Q21" s="7" t="s">
        <v>31</v>
      </c>
      <c r="R21" s="7">
        <v>114000</v>
      </c>
      <c r="S21" s="7">
        <v>88000</v>
      </c>
      <c r="T21" s="9">
        <v>26000</v>
      </c>
      <c r="V21" t="str">
        <f t="shared" si="0"/>
        <v>46+</v>
      </c>
    </row>
    <row r="22" spans="1:22" x14ac:dyDescent="0.3">
      <c r="A22" s="4" t="s">
        <v>139</v>
      </c>
      <c r="B22" s="11">
        <v>45735</v>
      </c>
      <c r="C22" s="5" t="s">
        <v>140</v>
      </c>
      <c r="D22" s="5" t="s">
        <v>103</v>
      </c>
      <c r="E22" s="5">
        <v>24</v>
      </c>
      <c r="F22" s="5" t="s">
        <v>23</v>
      </c>
      <c r="G22" s="5" t="s">
        <v>141</v>
      </c>
      <c r="H22" s="5" t="s">
        <v>142</v>
      </c>
      <c r="I22" s="5" t="s">
        <v>38</v>
      </c>
      <c r="J22" s="5" t="s">
        <v>143</v>
      </c>
      <c r="K22" s="5" t="s">
        <v>73</v>
      </c>
      <c r="L22" s="5" t="s">
        <v>144</v>
      </c>
      <c r="M22" s="5">
        <v>3</v>
      </c>
      <c r="N22" s="5">
        <v>3500</v>
      </c>
      <c r="O22" s="5">
        <v>5</v>
      </c>
      <c r="P22" s="5" t="s">
        <v>30</v>
      </c>
      <c r="Q22" s="5" t="s">
        <v>86</v>
      </c>
      <c r="R22" s="5">
        <v>9975</v>
      </c>
      <c r="S22" s="5">
        <v>6000</v>
      </c>
      <c r="T22" s="8">
        <v>3975</v>
      </c>
      <c r="V22" t="str">
        <f t="shared" si="0"/>
        <v>18-25</v>
      </c>
    </row>
    <row r="23" spans="1:22" x14ac:dyDescent="0.3">
      <c r="A23" s="6" t="s">
        <v>145</v>
      </c>
      <c r="B23" s="12">
        <v>45709</v>
      </c>
      <c r="C23" s="7" t="s">
        <v>146</v>
      </c>
      <c r="D23" s="7" t="s">
        <v>136</v>
      </c>
      <c r="E23" s="7">
        <v>41</v>
      </c>
      <c r="F23" s="7" t="s">
        <v>23</v>
      </c>
      <c r="G23" s="7" t="s">
        <v>137</v>
      </c>
      <c r="H23" s="7" t="s">
        <v>37</v>
      </c>
      <c r="I23" s="7" t="s">
        <v>38</v>
      </c>
      <c r="J23" s="7" t="s">
        <v>147</v>
      </c>
      <c r="K23" s="7" t="s">
        <v>40</v>
      </c>
      <c r="L23" s="7" t="s">
        <v>41</v>
      </c>
      <c r="M23" s="7">
        <v>5</v>
      </c>
      <c r="N23" s="7">
        <v>3500</v>
      </c>
      <c r="O23" s="7">
        <v>0</v>
      </c>
      <c r="P23" s="7" t="s">
        <v>30</v>
      </c>
      <c r="Q23" s="7" t="s">
        <v>60</v>
      </c>
      <c r="R23" s="7">
        <v>17500</v>
      </c>
      <c r="S23" s="7">
        <v>11000</v>
      </c>
      <c r="T23" s="9">
        <v>6500</v>
      </c>
      <c r="V23" t="str">
        <f t="shared" si="0"/>
        <v>36-45</v>
      </c>
    </row>
    <row r="24" spans="1:22" x14ac:dyDescent="0.3">
      <c r="A24" s="4" t="s">
        <v>148</v>
      </c>
      <c r="B24" s="11">
        <v>45693</v>
      </c>
      <c r="C24" s="5" t="s">
        <v>149</v>
      </c>
      <c r="D24" s="5" t="s">
        <v>150</v>
      </c>
      <c r="E24" s="5">
        <v>60</v>
      </c>
      <c r="F24" s="5" t="s">
        <v>23</v>
      </c>
      <c r="G24" s="5" t="s">
        <v>151</v>
      </c>
      <c r="H24" s="5" t="s">
        <v>152</v>
      </c>
      <c r="I24" s="5" t="s">
        <v>26</v>
      </c>
      <c r="J24" s="5" t="s">
        <v>153</v>
      </c>
      <c r="K24" s="5" t="s">
        <v>49</v>
      </c>
      <c r="L24" s="5" t="s">
        <v>154</v>
      </c>
      <c r="M24" s="5">
        <v>5</v>
      </c>
      <c r="N24" s="5">
        <v>1000</v>
      </c>
      <c r="O24" s="5">
        <v>5</v>
      </c>
      <c r="P24" s="5" t="s">
        <v>59</v>
      </c>
      <c r="Q24" s="5" t="s">
        <v>60</v>
      </c>
      <c r="R24" s="5">
        <v>4750</v>
      </c>
      <c r="S24" s="5">
        <v>2500</v>
      </c>
      <c r="T24" s="8">
        <v>2250</v>
      </c>
      <c r="V24" t="str">
        <f t="shared" si="0"/>
        <v>46+</v>
      </c>
    </row>
    <row r="25" spans="1:22" x14ac:dyDescent="0.3">
      <c r="A25" s="6" t="s">
        <v>155</v>
      </c>
      <c r="B25" s="12">
        <v>45731</v>
      </c>
      <c r="C25" s="7" t="s">
        <v>156</v>
      </c>
      <c r="D25" s="7" t="s">
        <v>157</v>
      </c>
      <c r="E25" s="7">
        <v>51</v>
      </c>
      <c r="F25" s="7" t="s">
        <v>35</v>
      </c>
      <c r="G25" s="7" t="s">
        <v>151</v>
      </c>
      <c r="H25" s="7" t="s">
        <v>152</v>
      </c>
      <c r="I25" s="7" t="s">
        <v>26</v>
      </c>
      <c r="J25" s="7" t="s">
        <v>158</v>
      </c>
      <c r="K25" s="7" t="s">
        <v>40</v>
      </c>
      <c r="L25" s="7" t="s">
        <v>80</v>
      </c>
      <c r="M25" s="7">
        <v>3</v>
      </c>
      <c r="N25" s="7">
        <v>10000</v>
      </c>
      <c r="O25" s="7">
        <v>0</v>
      </c>
      <c r="P25" s="7" t="s">
        <v>42</v>
      </c>
      <c r="Q25" s="7" t="s">
        <v>86</v>
      </c>
      <c r="R25" s="7">
        <v>30000</v>
      </c>
      <c r="S25" s="7">
        <v>21000</v>
      </c>
      <c r="T25" s="9">
        <v>9000</v>
      </c>
      <c r="V25" t="str">
        <f t="shared" si="0"/>
        <v>46+</v>
      </c>
    </row>
    <row r="26" spans="1:22" x14ac:dyDescent="0.3">
      <c r="A26" s="4" t="s">
        <v>159</v>
      </c>
      <c r="B26" s="11">
        <v>45703</v>
      </c>
      <c r="C26" s="5" t="s">
        <v>160</v>
      </c>
      <c r="D26" s="5" t="s">
        <v>128</v>
      </c>
      <c r="E26" s="5">
        <v>32</v>
      </c>
      <c r="F26" s="5" t="s">
        <v>23</v>
      </c>
      <c r="G26" s="5" t="s">
        <v>36</v>
      </c>
      <c r="H26" s="5" t="s">
        <v>37</v>
      </c>
      <c r="I26" s="5" t="s">
        <v>26</v>
      </c>
      <c r="J26" s="5" t="s">
        <v>161</v>
      </c>
      <c r="K26" s="5" t="s">
        <v>49</v>
      </c>
      <c r="L26" s="5" t="s">
        <v>50</v>
      </c>
      <c r="M26" s="5">
        <v>2</v>
      </c>
      <c r="N26" s="5">
        <v>30000</v>
      </c>
      <c r="O26" s="5">
        <v>10</v>
      </c>
      <c r="P26" s="5" t="s">
        <v>129</v>
      </c>
      <c r="Q26" s="5" t="s">
        <v>31</v>
      </c>
      <c r="R26" s="5">
        <v>54000</v>
      </c>
      <c r="S26" s="5">
        <v>44000</v>
      </c>
      <c r="T26" s="8">
        <v>10000</v>
      </c>
      <c r="V26" t="str">
        <f t="shared" si="0"/>
        <v>26-35</v>
      </c>
    </row>
    <row r="27" spans="1:22" x14ac:dyDescent="0.3">
      <c r="A27" s="6" t="s">
        <v>162</v>
      </c>
      <c r="B27" s="12">
        <v>45723</v>
      </c>
      <c r="C27" s="7" t="s">
        <v>163</v>
      </c>
      <c r="D27" s="7" t="s">
        <v>164</v>
      </c>
      <c r="E27" s="7">
        <v>48</v>
      </c>
      <c r="F27" s="7" t="s">
        <v>35</v>
      </c>
      <c r="G27" s="7" t="s">
        <v>137</v>
      </c>
      <c r="H27" s="7" t="s">
        <v>37</v>
      </c>
      <c r="I27" s="7" t="s">
        <v>38</v>
      </c>
      <c r="J27" s="7" t="s">
        <v>165</v>
      </c>
      <c r="K27" s="7" t="s">
        <v>40</v>
      </c>
      <c r="L27" s="7" t="s">
        <v>41</v>
      </c>
      <c r="M27" s="7">
        <v>4</v>
      </c>
      <c r="N27" s="7">
        <v>3500</v>
      </c>
      <c r="O27" s="7">
        <v>10</v>
      </c>
      <c r="P27" s="7" t="s">
        <v>129</v>
      </c>
      <c r="Q27" s="7" t="s">
        <v>60</v>
      </c>
      <c r="R27" s="7">
        <v>12600</v>
      </c>
      <c r="S27" s="7">
        <v>8800</v>
      </c>
      <c r="T27" s="9">
        <v>3800</v>
      </c>
      <c r="V27" t="str">
        <f t="shared" si="0"/>
        <v>46+</v>
      </c>
    </row>
    <row r="28" spans="1:22" x14ac:dyDescent="0.3">
      <c r="A28" s="4" t="s">
        <v>166</v>
      </c>
      <c r="B28" s="11">
        <v>45718</v>
      </c>
      <c r="C28" s="5" t="s">
        <v>167</v>
      </c>
      <c r="D28" s="5" t="s">
        <v>128</v>
      </c>
      <c r="E28" s="5">
        <v>43</v>
      </c>
      <c r="F28" s="5" t="s">
        <v>23</v>
      </c>
      <c r="G28" s="5" t="s">
        <v>104</v>
      </c>
      <c r="H28" s="5" t="s">
        <v>105</v>
      </c>
      <c r="I28" s="5" t="s">
        <v>38</v>
      </c>
      <c r="J28" s="5" t="s">
        <v>168</v>
      </c>
      <c r="K28" s="5" t="s">
        <v>28</v>
      </c>
      <c r="L28" s="5" t="s">
        <v>67</v>
      </c>
      <c r="M28" s="5">
        <v>2</v>
      </c>
      <c r="N28" s="5">
        <v>25000</v>
      </c>
      <c r="O28" s="5">
        <v>15</v>
      </c>
      <c r="P28" s="5" t="s">
        <v>129</v>
      </c>
      <c r="Q28" s="5" t="s">
        <v>31</v>
      </c>
      <c r="R28" s="5">
        <v>42500</v>
      </c>
      <c r="S28" s="5">
        <v>36000</v>
      </c>
      <c r="T28" s="8">
        <v>6500</v>
      </c>
      <c r="V28" t="str">
        <f t="shared" si="0"/>
        <v>36-45</v>
      </c>
    </row>
    <row r="29" spans="1:22" x14ac:dyDescent="0.3">
      <c r="A29" s="6" t="s">
        <v>169</v>
      </c>
      <c r="B29" s="12">
        <v>45716</v>
      </c>
      <c r="C29" s="7" t="s">
        <v>170</v>
      </c>
      <c r="D29" s="7" t="s">
        <v>157</v>
      </c>
      <c r="E29" s="7">
        <v>33</v>
      </c>
      <c r="F29" s="7" t="s">
        <v>35</v>
      </c>
      <c r="G29" s="7" t="s">
        <v>36</v>
      </c>
      <c r="H29" s="7" t="s">
        <v>37</v>
      </c>
      <c r="I29" s="7" t="s">
        <v>38</v>
      </c>
      <c r="J29" s="7" t="s">
        <v>171</v>
      </c>
      <c r="K29" s="7" t="s">
        <v>73</v>
      </c>
      <c r="L29" s="7" t="s">
        <v>74</v>
      </c>
      <c r="M29" s="7">
        <v>5</v>
      </c>
      <c r="N29" s="7">
        <v>1500</v>
      </c>
      <c r="O29" s="7">
        <v>0</v>
      </c>
      <c r="P29" s="7" t="s">
        <v>30</v>
      </c>
      <c r="Q29" s="7" t="s">
        <v>31</v>
      </c>
      <c r="R29" s="7">
        <v>7500</v>
      </c>
      <c r="S29" s="7">
        <v>4500</v>
      </c>
      <c r="T29" s="9">
        <v>3000</v>
      </c>
      <c r="V29" t="str">
        <f t="shared" si="0"/>
        <v>26-35</v>
      </c>
    </row>
    <row r="30" spans="1:22" x14ac:dyDescent="0.3">
      <c r="A30" s="4" t="s">
        <v>172</v>
      </c>
      <c r="B30" s="11">
        <v>45699</v>
      </c>
      <c r="C30" s="5" t="s">
        <v>173</v>
      </c>
      <c r="D30" s="5" t="s">
        <v>157</v>
      </c>
      <c r="E30" s="5">
        <v>31</v>
      </c>
      <c r="F30" s="5" t="s">
        <v>35</v>
      </c>
      <c r="G30" s="5" t="s">
        <v>78</v>
      </c>
      <c r="H30" s="5" t="s">
        <v>65</v>
      </c>
      <c r="I30" s="5" t="s">
        <v>26</v>
      </c>
      <c r="J30" s="5" t="s">
        <v>174</v>
      </c>
      <c r="K30" s="5" t="s">
        <v>40</v>
      </c>
      <c r="L30" s="5" t="s">
        <v>106</v>
      </c>
      <c r="M30" s="5">
        <v>4</v>
      </c>
      <c r="N30" s="5">
        <v>1500</v>
      </c>
      <c r="O30" s="5">
        <v>10</v>
      </c>
      <c r="P30" s="5" t="s">
        <v>129</v>
      </c>
      <c r="Q30" s="5" t="s">
        <v>31</v>
      </c>
      <c r="R30" s="5">
        <v>5400</v>
      </c>
      <c r="S30" s="5">
        <v>3600</v>
      </c>
      <c r="T30" s="8">
        <v>1800</v>
      </c>
      <c r="V30" t="str">
        <f t="shared" si="0"/>
        <v>26-35</v>
      </c>
    </row>
    <row r="31" spans="1:22" x14ac:dyDescent="0.3">
      <c r="A31" s="6" t="s">
        <v>175</v>
      </c>
      <c r="B31" s="12">
        <v>45716</v>
      </c>
      <c r="C31" s="7" t="s">
        <v>176</v>
      </c>
      <c r="D31" s="7" t="s">
        <v>177</v>
      </c>
      <c r="E31" s="7">
        <v>30</v>
      </c>
      <c r="F31" s="7" t="s">
        <v>35</v>
      </c>
      <c r="G31" s="7" t="s">
        <v>64</v>
      </c>
      <c r="H31" s="7" t="s">
        <v>65</v>
      </c>
      <c r="I31" s="7" t="s">
        <v>26</v>
      </c>
      <c r="J31" s="7" t="s">
        <v>178</v>
      </c>
      <c r="K31" s="7" t="s">
        <v>28</v>
      </c>
      <c r="L31" s="7" t="s">
        <v>29</v>
      </c>
      <c r="M31" s="7">
        <v>1</v>
      </c>
      <c r="N31" s="7">
        <v>55000</v>
      </c>
      <c r="O31" s="7">
        <v>0</v>
      </c>
      <c r="P31" s="7" t="s">
        <v>129</v>
      </c>
      <c r="Q31" s="7" t="s">
        <v>86</v>
      </c>
      <c r="R31" s="7">
        <v>55000</v>
      </c>
      <c r="S31" s="7">
        <v>42000</v>
      </c>
      <c r="T31" s="9">
        <v>13000</v>
      </c>
      <c r="V31" t="str">
        <f t="shared" si="0"/>
        <v>26-35</v>
      </c>
    </row>
    <row r="32" spans="1:22" x14ac:dyDescent="0.3">
      <c r="A32" s="4" t="s">
        <v>179</v>
      </c>
      <c r="B32" s="11">
        <v>45722</v>
      </c>
      <c r="C32" s="5" t="s">
        <v>180</v>
      </c>
      <c r="D32" s="5" t="s">
        <v>103</v>
      </c>
      <c r="E32" s="5">
        <v>23</v>
      </c>
      <c r="F32" s="5" t="s">
        <v>23</v>
      </c>
      <c r="G32" s="5" t="s">
        <v>46</v>
      </c>
      <c r="H32" s="5" t="s">
        <v>47</v>
      </c>
      <c r="I32" s="5" t="s">
        <v>26</v>
      </c>
      <c r="J32" s="5" t="s">
        <v>147</v>
      </c>
      <c r="K32" s="5" t="s">
        <v>73</v>
      </c>
      <c r="L32" s="5" t="s">
        <v>74</v>
      </c>
      <c r="M32" s="5">
        <v>4</v>
      </c>
      <c r="N32" s="5">
        <v>1500</v>
      </c>
      <c r="O32" s="5">
        <v>0</v>
      </c>
      <c r="P32" s="5" t="s">
        <v>42</v>
      </c>
      <c r="Q32" s="5" t="s">
        <v>86</v>
      </c>
      <c r="R32" s="5">
        <v>6000</v>
      </c>
      <c r="S32" s="5">
        <v>3600</v>
      </c>
      <c r="T32" s="8">
        <v>2400</v>
      </c>
      <c r="V32" t="str">
        <f t="shared" si="0"/>
        <v>18-25</v>
      </c>
    </row>
    <row r="33" spans="1:22" x14ac:dyDescent="0.3">
      <c r="A33" s="6" t="s">
        <v>181</v>
      </c>
      <c r="B33" s="12">
        <v>45727</v>
      </c>
      <c r="C33" s="7" t="s">
        <v>182</v>
      </c>
      <c r="D33" s="7" t="s">
        <v>113</v>
      </c>
      <c r="E33" s="7">
        <v>60</v>
      </c>
      <c r="F33" s="7" t="s">
        <v>23</v>
      </c>
      <c r="G33" s="7" t="s">
        <v>183</v>
      </c>
      <c r="H33" s="7" t="s">
        <v>184</v>
      </c>
      <c r="I33" s="7" t="s">
        <v>38</v>
      </c>
      <c r="J33" s="7" t="s">
        <v>178</v>
      </c>
      <c r="K33" s="7" t="s">
        <v>49</v>
      </c>
      <c r="L33" s="7" t="s">
        <v>85</v>
      </c>
      <c r="M33" s="7">
        <v>2</v>
      </c>
      <c r="N33" s="7">
        <v>5000</v>
      </c>
      <c r="O33" s="7">
        <v>10</v>
      </c>
      <c r="P33" s="7" t="s">
        <v>129</v>
      </c>
      <c r="Q33" s="7" t="s">
        <v>31</v>
      </c>
      <c r="R33" s="7">
        <v>9000</v>
      </c>
      <c r="S33" s="7">
        <v>6400</v>
      </c>
      <c r="T33" s="9">
        <v>2600</v>
      </c>
      <c r="V33" t="str">
        <f t="shared" si="0"/>
        <v>46+</v>
      </c>
    </row>
    <row r="34" spans="1:22" x14ac:dyDescent="0.3">
      <c r="A34" s="4" t="s">
        <v>185</v>
      </c>
      <c r="B34" s="11">
        <v>45731</v>
      </c>
      <c r="C34" s="5" t="s">
        <v>186</v>
      </c>
      <c r="D34" s="5" t="s">
        <v>157</v>
      </c>
      <c r="E34" s="5">
        <v>38</v>
      </c>
      <c r="F34" s="5" t="s">
        <v>35</v>
      </c>
      <c r="G34" s="5" t="s">
        <v>137</v>
      </c>
      <c r="H34" s="5" t="s">
        <v>37</v>
      </c>
      <c r="I34" s="5" t="s">
        <v>26</v>
      </c>
      <c r="J34" s="5" t="s">
        <v>187</v>
      </c>
      <c r="K34" s="5" t="s">
        <v>28</v>
      </c>
      <c r="L34" s="5" t="s">
        <v>188</v>
      </c>
      <c r="M34" s="5">
        <v>5</v>
      </c>
      <c r="N34" s="5">
        <v>8000</v>
      </c>
      <c r="O34" s="5">
        <v>0</v>
      </c>
      <c r="P34" s="5" t="s">
        <v>30</v>
      </c>
      <c r="Q34" s="5" t="s">
        <v>86</v>
      </c>
      <c r="R34" s="5">
        <v>40000</v>
      </c>
      <c r="S34" s="5">
        <v>27500</v>
      </c>
      <c r="T34" s="8">
        <v>12500</v>
      </c>
      <c r="V34" t="str">
        <f t="shared" si="0"/>
        <v>36-45</v>
      </c>
    </row>
    <row r="35" spans="1:22" x14ac:dyDescent="0.3">
      <c r="A35" s="6" t="s">
        <v>189</v>
      </c>
      <c r="B35" s="12">
        <v>45702</v>
      </c>
      <c r="C35" s="7" t="s">
        <v>190</v>
      </c>
      <c r="D35" s="7" t="s">
        <v>177</v>
      </c>
      <c r="E35" s="7">
        <v>40</v>
      </c>
      <c r="F35" s="7" t="s">
        <v>35</v>
      </c>
      <c r="G35" s="7" t="s">
        <v>36</v>
      </c>
      <c r="H35" s="7" t="s">
        <v>37</v>
      </c>
      <c r="I35" s="7" t="s">
        <v>26</v>
      </c>
      <c r="J35" s="7" t="s">
        <v>120</v>
      </c>
      <c r="K35" s="7" t="s">
        <v>49</v>
      </c>
      <c r="L35" s="7" t="s">
        <v>191</v>
      </c>
      <c r="M35" s="7">
        <v>4</v>
      </c>
      <c r="N35" s="7">
        <v>2000</v>
      </c>
      <c r="O35" s="7">
        <v>15</v>
      </c>
      <c r="P35" s="7" t="s">
        <v>59</v>
      </c>
      <c r="Q35" s="7" t="s">
        <v>86</v>
      </c>
      <c r="R35" s="7">
        <v>6800</v>
      </c>
      <c r="S35" s="7">
        <v>4800</v>
      </c>
      <c r="T35" s="9">
        <v>2000</v>
      </c>
      <c r="V35" t="str">
        <f t="shared" si="0"/>
        <v>36-45</v>
      </c>
    </row>
    <row r="36" spans="1:22" x14ac:dyDescent="0.3">
      <c r="A36" s="4" t="s">
        <v>192</v>
      </c>
      <c r="B36" s="11">
        <v>45730</v>
      </c>
      <c r="C36" s="5" t="s">
        <v>193</v>
      </c>
      <c r="D36" s="5" t="s">
        <v>103</v>
      </c>
      <c r="E36" s="5">
        <v>37</v>
      </c>
      <c r="F36" s="5" t="s">
        <v>23</v>
      </c>
      <c r="G36" s="5" t="s">
        <v>141</v>
      </c>
      <c r="H36" s="5" t="s">
        <v>142</v>
      </c>
      <c r="I36" s="5" t="s">
        <v>26</v>
      </c>
      <c r="J36" s="5" t="s">
        <v>194</v>
      </c>
      <c r="K36" s="5" t="s">
        <v>40</v>
      </c>
      <c r="L36" s="5" t="s">
        <v>195</v>
      </c>
      <c r="M36" s="5">
        <v>1</v>
      </c>
      <c r="N36" s="5">
        <v>25000</v>
      </c>
      <c r="O36" s="5">
        <v>15</v>
      </c>
      <c r="P36" s="5" t="s">
        <v>42</v>
      </c>
      <c r="Q36" s="5" t="s">
        <v>31</v>
      </c>
      <c r="R36" s="5">
        <v>21250</v>
      </c>
      <c r="S36" s="5">
        <v>18000</v>
      </c>
      <c r="T36" s="8">
        <v>3250</v>
      </c>
      <c r="V36" t="str">
        <f t="shared" si="0"/>
        <v>36-45</v>
      </c>
    </row>
    <row r="37" spans="1:22" x14ac:dyDescent="0.3">
      <c r="A37" s="6" t="s">
        <v>196</v>
      </c>
      <c r="B37" s="12">
        <v>45707</v>
      </c>
      <c r="C37" s="7" t="s">
        <v>197</v>
      </c>
      <c r="D37" s="7" t="s">
        <v>198</v>
      </c>
      <c r="E37" s="7">
        <v>31</v>
      </c>
      <c r="F37" s="7" t="s">
        <v>23</v>
      </c>
      <c r="G37" s="7" t="s">
        <v>141</v>
      </c>
      <c r="H37" s="7" t="s">
        <v>142</v>
      </c>
      <c r="I37" s="7" t="s">
        <v>38</v>
      </c>
      <c r="J37" s="7" t="s">
        <v>199</v>
      </c>
      <c r="K37" s="7" t="s">
        <v>73</v>
      </c>
      <c r="L37" s="7" t="s">
        <v>131</v>
      </c>
      <c r="M37" s="7">
        <v>1</v>
      </c>
      <c r="N37" s="7">
        <v>2000</v>
      </c>
      <c r="O37" s="7">
        <v>0</v>
      </c>
      <c r="P37" s="7" t="s">
        <v>129</v>
      </c>
      <c r="Q37" s="7" t="s">
        <v>31</v>
      </c>
      <c r="R37" s="7">
        <v>2000</v>
      </c>
      <c r="S37" s="7">
        <v>1300</v>
      </c>
      <c r="T37" s="9">
        <v>700</v>
      </c>
      <c r="V37" t="str">
        <f t="shared" si="0"/>
        <v>26-35</v>
      </c>
    </row>
    <row r="38" spans="1:22" x14ac:dyDescent="0.3">
      <c r="A38" s="4" t="s">
        <v>200</v>
      </c>
      <c r="B38" s="11">
        <v>45691</v>
      </c>
      <c r="C38" s="5" t="s">
        <v>160</v>
      </c>
      <c r="D38" s="5" t="s">
        <v>177</v>
      </c>
      <c r="E38" s="5">
        <v>58</v>
      </c>
      <c r="F38" s="5" t="s">
        <v>35</v>
      </c>
      <c r="G38" s="5" t="s">
        <v>64</v>
      </c>
      <c r="H38" s="5" t="s">
        <v>65</v>
      </c>
      <c r="I38" s="5" t="s">
        <v>26</v>
      </c>
      <c r="J38" s="5" t="s">
        <v>201</v>
      </c>
      <c r="K38" s="5" t="s">
        <v>57</v>
      </c>
      <c r="L38" s="5" t="s">
        <v>202</v>
      </c>
      <c r="M38" s="5">
        <v>1</v>
      </c>
      <c r="N38" s="5">
        <v>4000</v>
      </c>
      <c r="O38" s="5">
        <v>0</v>
      </c>
      <c r="P38" s="5" t="s">
        <v>30</v>
      </c>
      <c r="Q38" s="5" t="s">
        <v>31</v>
      </c>
      <c r="R38" s="5">
        <v>4000</v>
      </c>
      <c r="S38" s="5">
        <v>2600</v>
      </c>
      <c r="T38" s="8">
        <v>1400</v>
      </c>
      <c r="V38" t="str">
        <f t="shared" si="0"/>
        <v>46+</v>
      </c>
    </row>
    <row r="39" spans="1:22" x14ac:dyDescent="0.3">
      <c r="A39" s="6" t="s">
        <v>203</v>
      </c>
      <c r="B39" s="12">
        <v>45723</v>
      </c>
      <c r="C39" s="7" t="s">
        <v>204</v>
      </c>
      <c r="D39" s="7" t="s">
        <v>205</v>
      </c>
      <c r="E39" s="7">
        <v>53</v>
      </c>
      <c r="F39" s="7" t="s">
        <v>35</v>
      </c>
      <c r="G39" s="7" t="s">
        <v>46</v>
      </c>
      <c r="H39" s="7" t="s">
        <v>47</v>
      </c>
      <c r="I39" s="7" t="s">
        <v>38</v>
      </c>
      <c r="J39" s="7" t="s">
        <v>206</v>
      </c>
      <c r="K39" s="7" t="s">
        <v>40</v>
      </c>
      <c r="L39" s="7" t="s">
        <v>41</v>
      </c>
      <c r="M39" s="7">
        <v>3</v>
      </c>
      <c r="N39" s="7">
        <v>3500</v>
      </c>
      <c r="O39" s="7">
        <v>0</v>
      </c>
      <c r="P39" s="7" t="s">
        <v>59</v>
      </c>
      <c r="Q39" s="7" t="s">
        <v>31</v>
      </c>
      <c r="R39" s="7">
        <v>10500</v>
      </c>
      <c r="S39" s="7">
        <v>6600</v>
      </c>
      <c r="T39" s="9">
        <v>3900</v>
      </c>
      <c r="V39" t="str">
        <f t="shared" si="0"/>
        <v>46+</v>
      </c>
    </row>
    <row r="40" spans="1:22" x14ac:dyDescent="0.3">
      <c r="A40" s="4" t="s">
        <v>207</v>
      </c>
      <c r="B40" s="11">
        <v>45732</v>
      </c>
      <c r="C40" s="5" t="s">
        <v>208</v>
      </c>
      <c r="D40" s="5" t="s">
        <v>198</v>
      </c>
      <c r="E40" s="5">
        <v>53</v>
      </c>
      <c r="F40" s="5" t="s">
        <v>23</v>
      </c>
      <c r="G40" s="5" t="s">
        <v>78</v>
      </c>
      <c r="H40" s="5" t="s">
        <v>65</v>
      </c>
      <c r="I40" s="5" t="s">
        <v>26</v>
      </c>
      <c r="J40" s="5" t="s">
        <v>209</v>
      </c>
      <c r="K40" s="5" t="s">
        <v>40</v>
      </c>
      <c r="L40" s="5" t="s">
        <v>80</v>
      </c>
      <c r="M40" s="5">
        <v>4</v>
      </c>
      <c r="N40" s="5">
        <v>10000</v>
      </c>
      <c r="O40" s="5">
        <v>0</v>
      </c>
      <c r="P40" s="5" t="s">
        <v>42</v>
      </c>
      <c r="Q40" s="5" t="s">
        <v>31</v>
      </c>
      <c r="R40" s="5">
        <v>40000</v>
      </c>
      <c r="S40" s="5">
        <v>28000</v>
      </c>
      <c r="T40" s="8">
        <v>12000</v>
      </c>
      <c r="V40" t="str">
        <f t="shared" si="0"/>
        <v>46+</v>
      </c>
    </row>
    <row r="41" spans="1:22" x14ac:dyDescent="0.3">
      <c r="A41" s="6" t="s">
        <v>210</v>
      </c>
      <c r="B41" s="12">
        <v>45739</v>
      </c>
      <c r="C41" s="7" t="s">
        <v>173</v>
      </c>
      <c r="D41" s="7" t="s">
        <v>99</v>
      </c>
      <c r="E41" s="7">
        <v>28</v>
      </c>
      <c r="F41" s="7" t="s">
        <v>23</v>
      </c>
      <c r="G41" s="7" t="s">
        <v>137</v>
      </c>
      <c r="H41" s="7" t="s">
        <v>37</v>
      </c>
      <c r="I41" s="7" t="s">
        <v>26</v>
      </c>
      <c r="J41" s="7" t="s">
        <v>211</v>
      </c>
      <c r="K41" s="7" t="s">
        <v>57</v>
      </c>
      <c r="L41" s="7" t="s">
        <v>58</v>
      </c>
      <c r="M41" s="7">
        <v>2</v>
      </c>
      <c r="N41" s="7">
        <v>1800</v>
      </c>
      <c r="O41" s="7">
        <v>5</v>
      </c>
      <c r="P41" s="7" t="s">
        <v>129</v>
      </c>
      <c r="Q41" s="7" t="s">
        <v>31</v>
      </c>
      <c r="R41" s="7">
        <v>3420</v>
      </c>
      <c r="S41" s="7">
        <v>2000</v>
      </c>
      <c r="T41" s="9">
        <v>1420</v>
      </c>
      <c r="V41" t="str">
        <f t="shared" si="0"/>
        <v>26-35</v>
      </c>
    </row>
    <row r="42" spans="1:22" x14ac:dyDescent="0.3">
      <c r="A42" s="4" t="s">
        <v>212</v>
      </c>
      <c r="B42" s="11">
        <v>45708</v>
      </c>
      <c r="C42" s="5" t="s">
        <v>102</v>
      </c>
      <c r="D42" s="5" t="s">
        <v>128</v>
      </c>
      <c r="E42" s="5">
        <v>60</v>
      </c>
      <c r="F42" s="5" t="s">
        <v>23</v>
      </c>
      <c r="G42" s="5" t="s">
        <v>54</v>
      </c>
      <c r="H42" s="5" t="s">
        <v>55</v>
      </c>
      <c r="I42" s="5" t="s">
        <v>38</v>
      </c>
      <c r="J42" s="5" t="s">
        <v>158</v>
      </c>
      <c r="K42" s="5" t="s">
        <v>49</v>
      </c>
      <c r="L42" s="5" t="s">
        <v>191</v>
      </c>
      <c r="M42" s="5">
        <v>3</v>
      </c>
      <c r="N42" s="5">
        <v>2000</v>
      </c>
      <c r="O42" s="5">
        <v>10</v>
      </c>
      <c r="P42" s="5" t="s">
        <v>129</v>
      </c>
      <c r="Q42" s="5" t="s">
        <v>86</v>
      </c>
      <c r="R42" s="5">
        <v>5400</v>
      </c>
      <c r="S42" s="5">
        <v>3600</v>
      </c>
      <c r="T42" s="8">
        <v>1800</v>
      </c>
      <c r="V42" t="str">
        <f t="shared" si="0"/>
        <v>46+</v>
      </c>
    </row>
    <row r="43" spans="1:22" x14ac:dyDescent="0.3">
      <c r="A43" s="6" t="s">
        <v>213</v>
      </c>
      <c r="B43" s="12">
        <v>45710</v>
      </c>
      <c r="C43" s="7" t="s">
        <v>214</v>
      </c>
      <c r="D43" s="7" t="s">
        <v>99</v>
      </c>
      <c r="E43" s="7">
        <v>29</v>
      </c>
      <c r="F43" s="7" t="s">
        <v>23</v>
      </c>
      <c r="G43" s="7" t="s">
        <v>183</v>
      </c>
      <c r="H43" s="7" t="s">
        <v>184</v>
      </c>
      <c r="I43" s="7" t="s">
        <v>38</v>
      </c>
      <c r="J43" s="7" t="s">
        <v>215</v>
      </c>
      <c r="K43" s="7" t="s">
        <v>28</v>
      </c>
      <c r="L43" s="7" t="s">
        <v>29</v>
      </c>
      <c r="M43" s="7">
        <v>4</v>
      </c>
      <c r="N43" s="7">
        <v>55000</v>
      </c>
      <c r="O43" s="7">
        <v>10</v>
      </c>
      <c r="P43" s="7" t="s">
        <v>59</v>
      </c>
      <c r="Q43" s="7" t="s">
        <v>60</v>
      </c>
      <c r="R43" s="7">
        <v>198000</v>
      </c>
      <c r="S43" s="7">
        <v>168000</v>
      </c>
      <c r="T43" s="9">
        <v>30000</v>
      </c>
      <c r="V43" t="str">
        <f t="shared" si="0"/>
        <v>26-35</v>
      </c>
    </row>
    <row r="44" spans="1:22" x14ac:dyDescent="0.3">
      <c r="A44" s="4" t="s">
        <v>216</v>
      </c>
      <c r="B44" s="11">
        <v>45727</v>
      </c>
      <c r="C44" s="5" t="s">
        <v>217</v>
      </c>
      <c r="D44" s="5" t="s">
        <v>113</v>
      </c>
      <c r="E44" s="5">
        <v>54</v>
      </c>
      <c r="F44" s="5" t="s">
        <v>23</v>
      </c>
      <c r="G44" s="5" t="s">
        <v>54</v>
      </c>
      <c r="H44" s="5" t="s">
        <v>55</v>
      </c>
      <c r="I44" s="5" t="s">
        <v>38</v>
      </c>
      <c r="J44" s="5" t="s">
        <v>174</v>
      </c>
      <c r="K44" s="5" t="s">
        <v>28</v>
      </c>
      <c r="L44" s="5" t="s">
        <v>188</v>
      </c>
      <c r="M44" s="5">
        <v>5</v>
      </c>
      <c r="N44" s="5">
        <v>8000</v>
      </c>
      <c r="O44" s="5">
        <v>15</v>
      </c>
      <c r="P44" s="5" t="s">
        <v>42</v>
      </c>
      <c r="Q44" s="5" t="s">
        <v>31</v>
      </c>
      <c r="R44" s="5">
        <v>34000</v>
      </c>
      <c r="S44" s="5">
        <v>27500</v>
      </c>
      <c r="T44" s="8">
        <v>6500</v>
      </c>
      <c r="V44" t="str">
        <f t="shared" si="0"/>
        <v>46+</v>
      </c>
    </row>
    <row r="45" spans="1:22" x14ac:dyDescent="0.3">
      <c r="A45" s="6" t="s">
        <v>218</v>
      </c>
      <c r="B45" s="12">
        <v>45716</v>
      </c>
      <c r="C45" s="7" t="s">
        <v>219</v>
      </c>
      <c r="D45" s="7" t="s">
        <v>205</v>
      </c>
      <c r="E45" s="7">
        <v>38</v>
      </c>
      <c r="F45" s="7" t="s">
        <v>35</v>
      </c>
      <c r="G45" s="7" t="s">
        <v>141</v>
      </c>
      <c r="H45" s="7" t="s">
        <v>142</v>
      </c>
      <c r="I45" s="7" t="s">
        <v>26</v>
      </c>
      <c r="J45" s="7" t="s">
        <v>220</v>
      </c>
      <c r="K45" s="7" t="s">
        <v>49</v>
      </c>
      <c r="L45" s="7" t="s">
        <v>191</v>
      </c>
      <c r="M45" s="7">
        <v>3</v>
      </c>
      <c r="N45" s="7">
        <v>2000</v>
      </c>
      <c r="O45" s="7">
        <v>12</v>
      </c>
      <c r="P45" s="7" t="s">
        <v>59</v>
      </c>
      <c r="Q45" s="7" t="s">
        <v>86</v>
      </c>
      <c r="R45" s="7">
        <v>5280</v>
      </c>
      <c r="S45" s="7">
        <v>3600</v>
      </c>
      <c r="T45" s="9">
        <v>1680</v>
      </c>
      <c r="V45" t="str">
        <f t="shared" si="0"/>
        <v>36-45</v>
      </c>
    </row>
    <row r="46" spans="1:22" x14ac:dyDescent="0.3">
      <c r="A46" s="4" t="s">
        <v>221</v>
      </c>
      <c r="B46" s="11">
        <v>45697</v>
      </c>
      <c r="C46" s="5" t="s">
        <v>222</v>
      </c>
      <c r="D46" s="5" t="s">
        <v>223</v>
      </c>
      <c r="E46" s="5">
        <v>29</v>
      </c>
      <c r="F46" s="5" t="s">
        <v>35</v>
      </c>
      <c r="G46" s="5" t="s">
        <v>183</v>
      </c>
      <c r="H46" s="5" t="s">
        <v>184</v>
      </c>
      <c r="I46" s="5" t="s">
        <v>38</v>
      </c>
      <c r="J46" s="5" t="s">
        <v>206</v>
      </c>
      <c r="K46" s="5" t="s">
        <v>57</v>
      </c>
      <c r="L46" s="5" t="s">
        <v>58</v>
      </c>
      <c r="M46" s="5">
        <v>3</v>
      </c>
      <c r="N46" s="5">
        <v>1800</v>
      </c>
      <c r="O46" s="5">
        <v>5</v>
      </c>
      <c r="P46" s="5" t="s">
        <v>129</v>
      </c>
      <c r="Q46" s="5" t="s">
        <v>86</v>
      </c>
      <c r="R46" s="5">
        <v>5130</v>
      </c>
      <c r="S46" s="5">
        <v>3000</v>
      </c>
      <c r="T46" s="8">
        <v>2130</v>
      </c>
      <c r="V46" t="str">
        <f t="shared" si="0"/>
        <v>26-35</v>
      </c>
    </row>
    <row r="47" spans="1:22" x14ac:dyDescent="0.3">
      <c r="A47" s="6" t="s">
        <v>224</v>
      </c>
      <c r="B47" s="12">
        <v>45727</v>
      </c>
      <c r="C47" s="7" t="s">
        <v>156</v>
      </c>
      <c r="D47" s="7" t="s">
        <v>157</v>
      </c>
      <c r="E47" s="7">
        <v>46</v>
      </c>
      <c r="F47" s="7" t="s">
        <v>35</v>
      </c>
      <c r="G47" s="7" t="s">
        <v>151</v>
      </c>
      <c r="H47" s="7" t="s">
        <v>152</v>
      </c>
      <c r="I47" s="7" t="s">
        <v>26</v>
      </c>
      <c r="J47" s="7" t="s">
        <v>120</v>
      </c>
      <c r="K47" s="7" t="s">
        <v>73</v>
      </c>
      <c r="L47" s="7" t="s">
        <v>131</v>
      </c>
      <c r="M47" s="7">
        <v>1</v>
      </c>
      <c r="N47" s="7">
        <v>2000</v>
      </c>
      <c r="O47" s="7">
        <v>10</v>
      </c>
      <c r="P47" s="7" t="s">
        <v>59</v>
      </c>
      <c r="Q47" s="7" t="s">
        <v>31</v>
      </c>
      <c r="R47" s="7">
        <v>1800</v>
      </c>
      <c r="S47" s="7">
        <v>1300</v>
      </c>
      <c r="T47" s="9">
        <v>500</v>
      </c>
      <c r="V47" t="str">
        <f t="shared" si="0"/>
        <v>46+</v>
      </c>
    </row>
    <row r="48" spans="1:22" x14ac:dyDescent="0.3">
      <c r="A48" s="4" t="s">
        <v>225</v>
      </c>
      <c r="B48" s="11">
        <v>45737</v>
      </c>
      <c r="C48" s="5" t="s">
        <v>226</v>
      </c>
      <c r="D48" s="5" t="s">
        <v>164</v>
      </c>
      <c r="E48" s="5">
        <v>30</v>
      </c>
      <c r="F48" s="5" t="s">
        <v>35</v>
      </c>
      <c r="G48" s="5" t="s">
        <v>46</v>
      </c>
      <c r="H48" s="5" t="s">
        <v>47</v>
      </c>
      <c r="I48" s="5" t="s">
        <v>26</v>
      </c>
      <c r="J48" s="5" t="s">
        <v>211</v>
      </c>
      <c r="K48" s="5" t="s">
        <v>28</v>
      </c>
      <c r="L48" s="5" t="s">
        <v>67</v>
      </c>
      <c r="M48" s="5">
        <v>5</v>
      </c>
      <c r="N48" s="5">
        <v>25000</v>
      </c>
      <c r="O48" s="5">
        <v>0</v>
      </c>
      <c r="P48" s="5" t="s">
        <v>129</v>
      </c>
      <c r="Q48" s="5" t="s">
        <v>60</v>
      </c>
      <c r="R48" s="5">
        <v>125000</v>
      </c>
      <c r="S48" s="5">
        <v>90000</v>
      </c>
      <c r="T48" s="8">
        <v>35000</v>
      </c>
      <c r="V48" t="str">
        <f t="shared" si="0"/>
        <v>26-35</v>
      </c>
    </row>
    <row r="49" spans="1:22" x14ac:dyDescent="0.3">
      <c r="A49" s="6" t="s">
        <v>227</v>
      </c>
      <c r="B49" s="12">
        <v>45729</v>
      </c>
      <c r="C49" s="7" t="s">
        <v>228</v>
      </c>
      <c r="D49" s="7" t="s">
        <v>113</v>
      </c>
      <c r="E49" s="7">
        <v>49</v>
      </c>
      <c r="F49" s="7" t="s">
        <v>23</v>
      </c>
      <c r="G49" s="7" t="s">
        <v>78</v>
      </c>
      <c r="H49" s="7" t="s">
        <v>65</v>
      </c>
      <c r="I49" s="7" t="s">
        <v>26</v>
      </c>
      <c r="J49" s="7" t="s">
        <v>165</v>
      </c>
      <c r="K49" s="7" t="s">
        <v>40</v>
      </c>
      <c r="L49" s="7" t="s">
        <v>41</v>
      </c>
      <c r="M49" s="7">
        <v>4</v>
      </c>
      <c r="N49" s="7">
        <v>3500</v>
      </c>
      <c r="O49" s="7">
        <v>5</v>
      </c>
      <c r="P49" s="7" t="s">
        <v>42</v>
      </c>
      <c r="Q49" s="7" t="s">
        <v>86</v>
      </c>
      <c r="R49" s="7">
        <v>13300</v>
      </c>
      <c r="S49" s="7">
        <v>8800</v>
      </c>
      <c r="T49" s="9">
        <v>4500</v>
      </c>
      <c r="V49" t="str">
        <f t="shared" si="0"/>
        <v>46+</v>
      </c>
    </row>
    <row r="50" spans="1:22" x14ac:dyDescent="0.3">
      <c r="A50" s="4" t="s">
        <v>229</v>
      </c>
      <c r="B50" s="11">
        <v>45718</v>
      </c>
      <c r="C50" s="5" t="s">
        <v>167</v>
      </c>
      <c r="D50" s="5" t="s">
        <v>136</v>
      </c>
      <c r="E50" s="5">
        <v>47</v>
      </c>
      <c r="F50" s="5" t="s">
        <v>23</v>
      </c>
      <c r="G50" s="5" t="s">
        <v>46</v>
      </c>
      <c r="H50" s="5" t="s">
        <v>47</v>
      </c>
      <c r="I50" s="5" t="s">
        <v>38</v>
      </c>
      <c r="J50" s="5" t="s">
        <v>230</v>
      </c>
      <c r="K50" s="5" t="s">
        <v>73</v>
      </c>
      <c r="L50" s="5" t="s">
        <v>117</v>
      </c>
      <c r="M50" s="5">
        <v>5</v>
      </c>
      <c r="N50" s="5">
        <v>2500</v>
      </c>
      <c r="O50" s="5">
        <v>15</v>
      </c>
      <c r="P50" s="5" t="s">
        <v>129</v>
      </c>
      <c r="Q50" s="5" t="s">
        <v>86</v>
      </c>
      <c r="R50" s="5">
        <v>10625</v>
      </c>
      <c r="S50" s="5">
        <v>8000</v>
      </c>
      <c r="T50" s="8">
        <v>2625</v>
      </c>
      <c r="V50" t="str">
        <f t="shared" si="0"/>
        <v>46+</v>
      </c>
    </row>
    <row r="51" spans="1:22" x14ac:dyDescent="0.3">
      <c r="A51" s="6" t="s">
        <v>231</v>
      </c>
      <c r="B51" s="12">
        <v>45717</v>
      </c>
      <c r="C51" s="7" t="s">
        <v>180</v>
      </c>
      <c r="D51" s="7" t="s">
        <v>157</v>
      </c>
      <c r="E51" s="7">
        <v>34</v>
      </c>
      <c r="F51" s="7" t="s">
        <v>35</v>
      </c>
      <c r="G51" s="7" t="s">
        <v>137</v>
      </c>
      <c r="H51" s="7" t="s">
        <v>37</v>
      </c>
      <c r="I51" s="7" t="s">
        <v>26</v>
      </c>
      <c r="J51" s="7" t="s">
        <v>147</v>
      </c>
      <c r="K51" s="7" t="s">
        <v>49</v>
      </c>
      <c r="L51" s="7" t="s">
        <v>154</v>
      </c>
      <c r="M51" s="7">
        <v>3</v>
      </c>
      <c r="N51" s="7">
        <v>1000</v>
      </c>
      <c r="O51" s="7">
        <v>12</v>
      </c>
      <c r="P51" s="7" t="s">
        <v>30</v>
      </c>
      <c r="Q51" s="7" t="s">
        <v>31</v>
      </c>
      <c r="R51" s="7">
        <v>2640</v>
      </c>
      <c r="S51" s="7">
        <v>1500</v>
      </c>
      <c r="T51" s="9">
        <v>1140</v>
      </c>
      <c r="V51" t="str">
        <f t="shared" si="0"/>
        <v>26-35</v>
      </c>
    </row>
    <row r="52" spans="1:22" x14ac:dyDescent="0.3">
      <c r="A52" s="4" t="s">
        <v>232</v>
      </c>
      <c r="B52" s="11">
        <v>45704</v>
      </c>
      <c r="C52" s="5" t="s">
        <v>233</v>
      </c>
      <c r="D52" s="5" t="s">
        <v>234</v>
      </c>
      <c r="E52" s="5">
        <v>52</v>
      </c>
      <c r="F52" s="5" t="s">
        <v>35</v>
      </c>
      <c r="G52" s="5" t="s">
        <v>36</v>
      </c>
      <c r="H52" s="5" t="s">
        <v>37</v>
      </c>
      <c r="I52" s="5" t="s">
        <v>26</v>
      </c>
      <c r="J52" s="5" t="s">
        <v>125</v>
      </c>
      <c r="K52" s="5" t="s">
        <v>40</v>
      </c>
      <c r="L52" s="5" t="s">
        <v>80</v>
      </c>
      <c r="M52" s="5">
        <v>2</v>
      </c>
      <c r="N52" s="5">
        <v>10000</v>
      </c>
      <c r="O52" s="5">
        <v>5</v>
      </c>
      <c r="P52" s="5" t="s">
        <v>30</v>
      </c>
      <c r="Q52" s="5" t="s">
        <v>60</v>
      </c>
      <c r="R52" s="5">
        <v>19000</v>
      </c>
      <c r="S52" s="5">
        <v>14000</v>
      </c>
      <c r="T52" s="8">
        <v>5000</v>
      </c>
      <c r="V52" t="str">
        <f t="shared" si="0"/>
        <v>46+</v>
      </c>
    </row>
    <row r="53" spans="1:22" x14ac:dyDescent="0.3">
      <c r="A53" s="6" t="s">
        <v>235</v>
      </c>
      <c r="B53" s="12">
        <v>45715</v>
      </c>
      <c r="C53" s="7" t="s">
        <v>236</v>
      </c>
      <c r="D53" s="7" t="s">
        <v>223</v>
      </c>
      <c r="E53" s="7">
        <v>21</v>
      </c>
      <c r="F53" s="7" t="s">
        <v>35</v>
      </c>
      <c r="G53" s="7" t="s">
        <v>54</v>
      </c>
      <c r="H53" s="7" t="s">
        <v>55</v>
      </c>
      <c r="I53" s="7" t="s">
        <v>38</v>
      </c>
      <c r="J53" s="7" t="s">
        <v>116</v>
      </c>
      <c r="K53" s="7" t="s">
        <v>57</v>
      </c>
      <c r="L53" s="7" t="s">
        <v>58</v>
      </c>
      <c r="M53" s="7">
        <v>4</v>
      </c>
      <c r="N53" s="7">
        <v>1800</v>
      </c>
      <c r="O53" s="7">
        <v>12</v>
      </c>
      <c r="P53" s="7" t="s">
        <v>30</v>
      </c>
      <c r="Q53" s="7" t="s">
        <v>31</v>
      </c>
      <c r="R53" s="7">
        <v>6336</v>
      </c>
      <c r="S53" s="7">
        <v>4000</v>
      </c>
      <c r="T53" s="9">
        <v>2336</v>
      </c>
      <c r="V53" t="str">
        <f t="shared" si="0"/>
        <v>18-25</v>
      </c>
    </row>
    <row r="54" spans="1:22" x14ac:dyDescent="0.3">
      <c r="A54" s="4" t="s">
        <v>237</v>
      </c>
      <c r="B54" s="11">
        <v>45708</v>
      </c>
      <c r="C54" s="5" t="s">
        <v>238</v>
      </c>
      <c r="D54" s="5" t="s">
        <v>83</v>
      </c>
      <c r="E54" s="5">
        <v>52</v>
      </c>
      <c r="F54" s="5" t="s">
        <v>35</v>
      </c>
      <c r="G54" s="5" t="s">
        <v>137</v>
      </c>
      <c r="H54" s="5" t="s">
        <v>37</v>
      </c>
      <c r="I54" s="5" t="s">
        <v>26</v>
      </c>
      <c r="J54" s="5" t="s">
        <v>239</v>
      </c>
      <c r="K54" s="5" t="s">
        <v>57</v>
      </c>
      <c r="L54" s="5" t="s">
        <v>96</v>
      </c>
      <c r="M54" s="5">
        <v>4</v>
      </c>
      <c r="N54" s="5">
        <v>4500</v>
      </c>
      <c r="O54" s="5">
        <v>12</v>
      </c>
      <c r="P54" s="5" t="s">
        <v>30</v>
      </c>
      <c r="Q54" s="5" t="s">
        <v>60</v>
      </c>
      <c r="R54" s="5">
        <v>15840</v>
      </c>
      <c r="S54" s="5">
        <v>11200</v>
      </c>
      <c r="T54" s="8">
        <v>4640</v>
      </c>
      <c r="V54" t="str">
        <f t="shared" si="0"/>
        <v>46+</v>
      </c>
    </row>
    <row r="55" spans="1:22" x14ac:dyDescent="0.3">
      <c r="A55" s="6" t="s">
        <v>240</v>
      </c>
      <c r="B55" s="12">
        <v>45710</v>
      </c>
      <c r="C55" s="7" t="s">
        <v>241</v>
      </c>
      <c r="D55" s="7" t="s">
        <v>177</v>
      </c>
      <c r="E55" s="7">
        <v>47</v>
      </c>
      <c r="F55" s="7" t="s">
        <v>35</v>
      </c>
      <c r="G55" s="7" t="s">
        <v>46</v>
      </c>
      <c r="H55" s="7" t="s">
        <v>47</v>
      </c>
      <c r="I55" s="7" t="s">
        <v>26</v>
      </c>
      <c r="J55" s="7" t="s">
        <v>242</v>
      </c>
      <c r="K55" s="7" t="s">
        <v>57</v>
      </c>
      <c r="L55" s="7" t="s">
        <v>58</v>
      </c>
      <c r="M55" s="7">
        <v>4</v>
      </c>
      <c r="N55" s="7">
        <v>1800</v>
      </c>
      <c r="O55" s="7">
        <v>5</v>
      </c>
      <c r="P55" s="7" t="s">
        <v>129</v>
      </c>
      <c r="Q55" s="7" t="s">
        <v>31</v>
      </c>
      <c r="R55" s="7">
        <v>6840</v>
      </c>
      <c r="S55" s="7">
        <v>4000</v>
      </c>
      <c r="T55" s="9">
        <v>2840</v>
      </c>
      <c r="V55" t="str">
        <f t="shared" si="0"/>
        <v>46+</v>
      </c>
    </row>
    <row r="56" spans="1:22" x14ac:dyDescent="0.3">
      <c r="A56" s="4" t="s">
        <v>243</v>
      </c>
      <c r="B56" s="11">
        <v>45692</v>
      </c>
      <c r="C56" s="5" t="s">
        <v>140</v>
      </c>
      <c r="D56" s="5" t="s">
        <v>234</v>
      </c>
      <c r="E56" s="5">
        <v>31</v>
      </c>
      <c r="F56" s="5" t="s">
        <v>35</v>
      </c>
      <c r="G56" s="5" t="s">
        <v>151</v>
      </c>
      <c r="H56" s="5" t="s">
        <v>152</v>
      </c>
      <c r="I56" s="5" t="s">
        <v>38</v>
      </c>
      <c r="J56" s="5" t="s">
        <v>239</v>
      </c>
      <c r="K56" s="5" t="s">
        <v>49</v>
      </c>
      <c r="L56" s="5" t="s">
        <v>154</v>
      </c>
      <c r="M56" s="5">
        <v>4</v>
      </c>
      <c r="N56" s="5">
        <v>1000</v>
      </c>
      <c r="O56" s="5">
        <v>10</v>
      </c>
      <c r="P56" s="5" t="s">
        <v>30</v>
      </c>
      <c r="Q56" s="5" t="s">
        <v>60</v>
      </c>
      <c r="R56" s="5">
        <v>3600</v>
      </c>
      <c r="S56" s="5">
        <v>2000</v>
      </c>
      <c r="T56" s="8">
        <v>1600</v>
      </c>
      <c r="V56" t="str">
        <f t="shared" si="0"/>
        <v>26-35</v>
      </c>
    </row>
    <row r="57" spans="1:22" x14ac:dyDescent="0.3">
      <c r="A57" s="6" t="s">
        <v>244</v>
      </c>
      <c r="B57" s="12">
        <v>45690</v>
      </c>
      <c r="C57" s="7" t="s">
        <v>245</v>
      </c>
      <c r="D57" s="7" t="s">
        <v>198</v>
      </c>
      <c r="E57" s="7">
        <v>32</v>
      </c>
      <c r="F57" s="7" t="s">
        <v>23</v>
      </c>
      <c r="G57" s="7" t="s">
        <v>141</v>
      </c>
      <c r="H57" s="7" t="s">
        <v>142</v>
      </c>
      <c r="I57" s="7" t="s">
        <v>26</v>
      </c>
      <c r="J57" s="7" t="s">
        <v>147</v>
      </c>
      <c r="K57" s="7" t="s">
        <v>28</v>
      </c>
      <c r="L57" s="7" t="s">
        <v>29</v>
      </c>
      <c r="M57" s="7">
        <v>2</v>
      </c>
      <c r="N57" s="7">
        <v>55000</v>
      </c>
      <c r="O57" s="7">
        <v>0</v>
      </c>
      <c r="P57" s="7" t="s">
        <v>42</v>
      </c>
      <c r="Q57" s="7" t="s">
        <v>31</v>
      </c>
      <c r="R57" s="7">
        <v>110000</v>
      </c>
      <c r="S57" s="7">
        <v>84000</v>
      </c>
      <c r="T57" s="9">
        <v>26000</v>
      </c>
      <c r="V57" t="str">
        <f t="shared" si="0"/>
        <v>26-35</v>
      </c>
    </row>
    <row r="58" spans="1:22" x14ac:dyDescent="0.3">
      <c r="A58" s="4" t="s">
        <v>246</v>
      </c>
      <c r="B58" s="11">
        <v>45697</v>
      </c>
      <c r="C58" s="5" t="s">
        <v>247</v>
      </c>
      <c r="D58" s="5" t="s">
        <v>124</v>
      </c>
      <c r="E58" s="5">
        <v>31</v>
      </c>
      <c r="F58" s="5" t="s">
        <v>23</v>
      </c>
      <c r="G58" s="5" t="s">
        <v>151</v>
      </c>
      <c r="H58" s="5" t="s">
        <v>152</v>
      </c>
      <c r="I58" s="5" t="s">
        <v>38</v>
      </c>
      <c r="J58" s="5" t="s">
        <v>215</v>
      </c>
      <c r="K58" s="5" t="s">
        <v>49</v>
      </c>
      <c r="L58" s="5" t="s">
        <v>85</v>
      </c>
      <c r="M58" s="5">
        <v>5</v>
      </c>
      <c r="N58" s="5">
        <v>5000</v>
      </c>
      <c r="O58" s="5">
        <v>0</v>
      </c>
      <c r="P58" s="5" t="s">
        <v>42</v>
      </c>
      <c r="Q58" s="5" t="s">
        <v>31</v>
      </c>
      <c r="R58" s="5">
        <v>25000</v>
      </c>
      <c r="S58" s="5">
        <v>16000</v>
      </c>
      <c r="T58" s="8">
        <v>9000</v>
      </c>
      <c r="V58" t="str">
        <f t="shared" si="0"/>
        <v>26-35</v>
      </c>
    </row>
    <row r="59" spans="1:22" x14ac:dyDescent="0.3">
      <c r="A59" s="6" t="s">
        <v>248</v>
      </c>
      <c r="B59" s="12">
        <v>45695</v>
      </c>
      <c r="C59" s="7" t="s">
        <v>249</v>
      </c>
      <c r="D59" s="7" t="s">
        <v>99</v>
      </c>
      <c r="E59" s="7">
        <v>54</v>
      </c>
      <c r="F59" s="7" t="s">
        <v>23</v>
      </c>
      <c r="G59" s="7" t="s">
        <v>141</v>
      </c>
      <c r="H59" s="7" t="s">
        <v>142</v>
      </c>
      <c r="I59" s="7" t="s">
        <v>38</v>
      </c>
      <c r="J59" s="7" t="s">
        <v>158</v>
      </c>
      <c r="K59" s="7" t="s">
        <v>57</v>
      </c>
      <c r="L59" s="7" t="s">
        <v>96</v>
      </c>
      <c r="M59" s="7">
        <v>5</v>
      </c>
      <c r="N59" s="7">
        <v>4500</v>
      </c>
      <c r="O59" s="7">
        <v>5</v>
      </c>
      <c r="P59" s="7" t="s">
        <v>30</v>
      </c>
      <c r="Q59" s="7" t="s">
        <v>31</v>
      </c>
      <c r="R59" s="7">
        <v>21375</v>
      </c>
      <c r="S59" s="7">
        <v>14000</v>
      </c>
      <c r="T59" s="9">
        <v>7375</v>
      </c>
      <c r="V59" t="str">
        <f t="shared" si="0"/>
        <v>46+</v>
      </c>
    </row>
    <row r="60" spans="1:22" x14ac:dyDescent="0.3">
      <c r="A60" s="4" t="s">
        <v>250</v>
      </c>
      <c r="B60" s="11">
        <v>45732</v>
      </c>
      <c r="C60" s="5" t="s">
        <v>251</v>
      </c>
      <c r="D60" s="5" t="s">
        <v>124</v>
      </c>
      <c r="E60" s="5">
        <v>20</v>
      </c>
      <c r="F60" s="5" t="s">
        <v>23</v>
      </c>
      <c r="G60" s="5" t="s">
        <v>71</v>
      </c>
      <c r="H60" s="5" t="s">
        <v>71</v>
      </c>
      <c r="I60" s="5" t="s">
        <v>38</v>
      </c>
      <c r="J60" s="5" t="s">
        <v>161</v>
      </c>
      <c r="K60" s="5" t="s">
        <v>49</v>
      </c>
      <c r="L60" s="5" t="s">
        <v>50</v>
      </c>
      <c r="M60" s="5">
        <v>3</v>
      </c>
      <c r="N60" s="5">
        <v>30000</v>
      </c>
      <c r="O60" s="5">
        <v>0</v>
      </c>
      <c r="P60" s="5" t="s">
        <v>129</v>
      </c>
      <c r="Q60" s="5" t="s">
        <v>60</v>
      </c>
      <c r="R60" s="5">
        <v>90000</v>
      </c>
      <c r="S60" s="5">
        <v>66000</v>
      </c>
      <c r="T60" s="8">
        <v>24000</v>
      </c>
      <c r="V60" t="str">
        <f t="shared" si="0"/>
        <v>18-25</v>
      </c>
    </row>
    <row r="61" spans="1:22" x14ac:dyDescent="0.3">
      <c r="A61" s="6" t="s">
        <v>252</v>
      </c>
      <c r="B61" s="12">
        <v>45695</v>
      </c>
      <c r="C61" s="7" t="s">
        <v>253</v>
      </c>
      <c r="D61" s="7" t="s">
        <v>157</v>
      </c>
      <c r="E61" s="7">
        <v>27</v>
      </c>
      <c r="F61" s="7" t="s">
        <v>35</v>
      </c>
      <c r="G61" s="7" t="s">
        <v>78</v>
      </c>
      <c r="H61" s="7" t="s">
        <v>65</v>
      </c>
      <c r="I61" s="7" t="s">
        <v>26</v>
      </c>
      <c r="J61" s="7" t="s">
        <v>187</v>
      </c>
      <c r="K61" s="7" t="s">
        <v>73</v>
      </c>
      <c r="L61" s="7" t="s">
        <v>117</v>
      </c>
      <c r="M61" s="7">
        <v>5</v>
      </c>
      <c r="N61" s="7">
        <v>2500</v>
      </c>
      <c r="O61" s="7">
        <v>12</v>
      </c>
      <c r="P61" s="7" t="s">
        <v>129</v>
      </c>
      <c r="Q61" s="7" t="s">
        <v>60</v>
      </c>
      <c r="R61" s="7">
        <v>11000</v>
      </c>
      <c r="S61" s="7">
        <v>8000</v>
      </c>
      <c r="T61" s="9">
        <v>3000</v>
      </c>
      <c r="V61" t="str">
        <f t="shared" si="0"/>
        <v>26-35</v>
      </c>
    </row>
    <row r="62" spans="1:22" x14ac:dyDescent="0.3">
      <c r="A62" s="4" t="s">
        <v>254</v>
      </c>
      <c r="B62" s="11">
        <v>45735</v>
      </c>
      <c r="C62" s="5" t="s">
        <v>255</v>
      </c>
      <c r="D62" s="5" t="s">
        <v>234</v>
      </c>
      <c r="E62" s="5">
        <v>33</v>
      </c>
      <c r="F62" s="5" t="s">
        <v>35</v>
      </c>
      <c r="G62" s="5" t="s">
        <v>36</v>
      </c>
      <c r="H62" s="5" t="s">
        <v>37</v>
      </c>
      <c r="I62" s="5" t="s">
        <v>38</v>
      </c>
      <c r="J62" s="5" t="s">
        <v>256</v>
      </c>
      <c r="K62" s="5" t="s">
        <v>57</v>
      </c>
      <c r="L62" s="5" t="s">
        <v>96</v>
      </c>
      <c r="M62" s="5">
        <v>5</v>
      </c>
      <c r="N62" s="5">
        <v>4500</v>
      </c>
      <c r="O62" s="5">
        <v>15</v>
      </c>
      <c r="P62" s="5" t="s">
        <v>129</v>
      </c>
      <c r="Q62" s="5" t="s">
        <v>31</v>
      </c>
      <c r="R62" s="5">
        <v>19125</v>
      </c>
      <c r="S62" s="5">
        <v>14000</v>
      </c>
      <c r="T62" s="8">
        <v>5125</v>
      </c>
      <c r="V62" t="str">
        <f t="shared" si="0"/>
        <v>26-35</v>
      </c>
    </row>
    <row r="63" spans="1:22" x14ac:dyDescent="0.3">
      <c r="A63" s="6" t="s">
        <v>257</v>
      </c>
      <c r="B63" s="12">
        <v>45690</v>
      </c>
      <c r="C63" s="7" t="s">
        <v>133</v>
      </c>
      <c r="D63" s="7" t="s">
        <v>177</v>
      </c>
      <c r="E63" s="7">
        <v>49</v>
      </c>
      <c r="F63" s="7" t="s">
        <v>35</v>
      </c>
      <c r="G63" s="7" t="s">
        <v>54</v>
      </c>
      <c r="H63" s="7" t="s">
        <v>55</v>
      </c>
      <c r="I63" s="7" t="s">
        <v>38</v>
      </c>
      <c r="J63" s="7" t="s">
        <v>239</v>
      </c>
      <c r="K63" s="7" t="s">
        <v>49</v>
      </c>
      <c r="L63" s="7" t="s">
        <v>191</v>
      </c>
      <c r="M63" s="7">
        <v>5</v>
      </c>
      <c r="N63" s="7">
        <v>2000</v>
      </c>
      <c r="O63" s="7">
        <v>10</v>
      </c>
      <c r="P63" s="7" t="s">
        <v>30</v>
      </c>
      <c r="Q63" s="7" t="s">
        <v>86</v>
      </c>
      <c r="R63" s="7">
        <v>9000</v>
      </c>
      <c r="S63" s="7">
        <v>6000</v>
      </c>
      <c r="T63" s="9">
        <v>3000</v>
      </c>
      <c r="V63" t="str">
        <f t="shared" si="0"/>
        <v>46+</v>
      </c>
    </row>
    <row r="64" spans="1:22" x14ac:dyDescent="0.3">
      <c r="A64" s="4" t="s">
        <v>258</v>
      </c>
      <c r="B64" s="11">
        <v>45701</v>
      </c>
      <c r="C64" s="5" t="s">
        <v>259</v>
      </c>
      <c r="D64" s="5" t="s">
        <v>113</v>
      </c>
      <c r="E64" s="5">
        <v>49</v>
      </c>
      <c r="F64" s="5" t="s">
        <v>23</v>
      </c>
      <c r="G64" s="5" t="s">
        <v>114</v>
      </c>
      <c r="H64" s="5" t="s">
        <v>115</v>
      </c>
      <c r="I64" s="5" t="s">
        <v>26</v>
      </c>
      <c r="J64" s="5" t="s">
        <v>230</v>
      </c>
      <c r="K64" s="5" t="s">
        <v>57</v>
      </c>
      <c r="L64" s="5" t="s">
        <v>202</v>
      </c>
      <c r="M64" s="5">
        <v>1</v>
      </c>
      <c r="N64" s="5">
        <v>4000</v>
      </c>
      <c r="O64" s="5">
        <v>0</v>
      </c>
      <c r="P64" s="5" t="s">
        <v>59</v>
      </c>
      <c r="Q64" s="5" t="s">
        <v>31</v>
      </c>
      <c r="R64" s="5">
        <v>4000</v>
      </c>
      <c r="S64" s="5">
        <v>2600</v>
      </c>
      <c r="T64" s="8">
        <v>1400</v>
      </c>
      <c r="V64" t="str">
        <f t="shared" si="0"/>
        <v>46+</v>
      </c>
    </row>
    <row r="65" spans="1:22" x14ac:dyDescent="0.3">
      <c r="A65" s="6" t="s">
        <v>260</v>
      </c>
      <c r="B65" s="12">
        <v>45714</v>
      </c>
      <c r="C65" s="7" t="s">
        <v>261</v>
      </c>
      <c r="D65" s="7" t="s">
        <v>99</v>
      </c>
      <c r="E65" s="7">
        <v>60</v>
      </c>
      <c r="F65" s="7" t="s">
        <v>23</v>
      </c>
      <c r="G65" s="7" t="s">
        <v>183</v>
      </c>
      <c r="H65" s="7" t="s">
        <v>184</v>
      </c>
      <c r="I65" s="7" t="s">
        <v>38</v>
      </c>
      <c r="J65" s="7" t="s">
        <v>262</v>
      </c>
      <c r="K65" s="7" t="s">
        <v>57</v>
      </c>
      <c r="L65" s="7" t="s">
        <v>121</v>
      </c>
      <c r="M65" s="7">
        <v>5</v>
      </c>
      <c r="N65" s="7">
        <v>2500</v>
      </c>
      <c r="O65" s="7">
        <v>10</v>
      </c>
      <c r="P65" s="7" t="s">
        <v>59</v>
      </c>
      <c r="Q65" s="7" t="s">
        <v>60</v>
      </c>
      <c r="R65" s="7">
        <v>11250</v>
      </c>
      <c r="S65" s="7">
        <v>7500</v>
      </c>
      <c r="T65" s="9">
        <v>3750</v>
      </c>
      <c r="V65" t="str">
        <f t="shared" si="0"/>
        <v>46+</v>
      </c>
    </row>
    <row r="66" spans="1:22" x14ac:dyDescent="0.3">
      <c r="A66" s="4" t="s">
        <v>263</v>
      </c>
      <c r="B66" s="11">
        <v>45706</v>
      </c>
      <c r="C66" s="5" t="s">
        <v>264</v>
      </c>
      <c r="D66" s="5" t="s">
        <v>164</v>
      </c>
      <c r="E66" s="5">
        <v>25</v>
      </c>
      <c r="F66" s="5" t="s">
        <v>35</v>
      </c>
      <c r="G66" s="5" t="s">
        <v>104</v>
      </c>
      <c r="H66" s="5" t="s">
        <v>105</v>
      </c>
      <c r="I66" s="5" t="s">
        <v>26</v>
      </c>
      <c r="J66" s="5" t="s">
        <v>265</v>
      </c>
      <c r="K66" s="5" t="s">
        <v>49</v>
      </c>
      <c r="L66" s="5" t="s">
        <v>50</v>
      </c>
      <c r="M66" s="5">
        <v>2</v>
      </c>
      <c r="N66" s="5">
        <v>30000</v>
      </c>
      <c r="O66" s="5">
        <v>5</v>
      </c>
      <c r="P66" s="5" t="s">
        <v>42</v>
      </c>
      <c r="Q66" s="5" t="s">
        <v>60</v>
      </c>
      <c r="R66" s="5">
        <v>57000</v>
      </c>
      <c r="S66" s="5">
        <v>44000</v>
      </c>
      <c r="T66" s="8">
        <v>13000</v>
      </c>
      <c r="V66" t="str">
        <f t="shared" si="0"/>
        <v>18-25</v>
      </c>
    </row>
    <row r="67" spans="1:22" x14ac:dyDescent="0.3">
      <c r="A67" s="6" t="s">
        <v>266</v>
      </c>
      <c r="B67" s="12">
        <v>45706</v>
      </c>
      <c r="C67" s="7" t="s">
        <v>255</v>
      </c>
      <c r="D67" s="7" t="s">
        <v>267</v>
      </c>
      <c r="E67" s="7">
        <v>30</v>
      </c>
      <c r="F67" s="7" t="s">
        <v>35</v>
      </c>
      <c r="G67" s="7" t="s">
        <v>64</v>
      </c>
      <c r="H67" s="7" t="s">
        <v>65</v>
      </c>
      <c r="I67" s="7" t="s">
        <v>26</v>
      </c>
      <c r="J67" s="7" t="s">
        <v>206</v>
      </c>
      <c r="K67" s="7" t="s">
        <v>49</v>
      </c>
      <c r="L67" s="7" t="s">
        <v>85</v>
      </c>
      <c r="M67" s="7">
        <v>1</v>
      </c>
      <c r="N67" s="7">
        <v>5000</v>
      </c>
      <c r="O67" s="7">
        <v>15</v>
      </c>
      <c r="P67" s="7" t="s">
        <v>42</v>
      </c>
      <c r="Q67" s="7" t="s">
        <v>31</v>
      </c>
      <c r="R67" s="7">
        <v>4250</v>
      </c>
      <c r="S67" s="7">
        <v>3200</v>
      </c>
      <c r="T67" s="9">
        <v>1050</v>
      </c>
      <c r="V67" t="str">
        <f t="shared" ref="V67:V111" si="1">IF(E67&lt;=25,"18-25",
IF(E67&lt;=35,"26-35",
IF(E67&lt;=45,"36-45","46+")))</f>
        <v>26-35</v>
      </c>
    </row>
    <row r="68" spans="1:22" x14ac:dyDescent="0.3">
      <c r="A68" s="4" t="s">
        <v>268</v>
      </c>
      <c r="B68" s="11">
        <v>45691</v>
      </c>
      <c r="C68" s="5" t="s">
        <v>167</v>
      </c>
      <c r="D68" s="5" t="s">
        <v>177</v>
      </c>
      <c r="E68" s="5">
        <v>58</v>
      </c>
      <c r="F68" s="5" t="s">
        <v>35</v>
      </c>
      <c r="G68" s="5" t="s">
        <v>137</v>
      </c>
      <c r="H68" s="5" t="s">
        <v>37</v>
      </c>
      <c r="I68" s="5" t="s">
        <v>38</v>
      </c>
      <c r="J68" s="5" t="s">
        <v>116</v>
      </c>
      <c r="K68" s="5" t="s">
        <v>28</v>
      </c>
      <c r="L68" s="5" t="s">
        <v>29</v>
      </c>
      <c r="M68" s="5">
        <v>3</v>
      </c>
      <c r="N68" s="5">
        <v>55000</v>
      </c>
      <c r="O68" s="5">
        <v>12</v>
      </c>
      <c r="P68" s="5" t="s">
        <v>129</v>
      </c>
      <c r="Q68" s="5" t="s">
        <v>60</v>
      </c>
      <c r="R68" s="5">
        <v>145200</v>
      </c>
      <c r="S68" s="5">
        <v>126000</v>
      </c>
      <c r="T68" s="8">
        <v>19200</v>
      </c>
      <c r="V68" t="str">
        <f t="shared" si="1"/>
        <v>46+</v>
      </c>
    </row>
    <row r="69" spans="1:22" x14ac:dyDescent="0.3">
      <c r="A69" s="6" t="s">
        <v>269</v>
      </c>
      <c r="B69" s="12">
        <v>45710</v>
      </c>
      <c r="C69" s="7" t="s">
        <v>170</v>
      </c>
      <c r="D69" s="7" t="s">
        <v>99</v>
      </c>
      <c r="E69" s="7">
        <v>48</v>
      </c>
      <c r="F69" s="7" t="s">
        <v>23</v>
      </c>
      <c r="G69" s="7" t="s">
        <v>36</v>
      </c>
      <c r="H69" s="7" t="s">
        <v>37</v>
      </c>
      <c r="I69" s="7" t="s">
        <v>26</v>
      </c>
      <c r="J69" s="7" t="s">
        <v>158</v>
      </c>
      <c r="K69" s="7" t="s">
        <v>57</v>
      </c>
      <c r="L69" s="7" t="s">
        <v>202</v>
      </c>
      <c r="M69" s="7">
        <v>5</v>
      </c>
      <c r="N69" s="7">
        <v>4000</v>
      </c>
      <c r="O69" s="7">
        <v>0</v>
      </c>
      <c r="P69" s="7" t="s">
        <v>42</v>
      </c>
      <c r="Q69" s="7" t="s">
        <v>31</v>
      </c>
      <c r="R69" s="7">
        <v>20000</v>
      </c>
      <c r="S69" s="7">
        <v>13000</v>
      </c>
      <c r="T69" s="9">
        <v>7000</v>
      </c>
      <c r="V69" t="str">
        <f t="shared" si="1"/>
        <v>46+</v>
      </c>
    </row>
    <row r="70" spans="1:22" x14ac:dyDescent="0.3">
      <c r="A70" s="4" t="s">
        <v>270</v>
      </c>
      <c r="B70" s="11">
        <v>45725</v>
      </c>
      <c r="C70" s="5" t="s">
        <v>271</v>
      </c>
      <c r="D70" s="5" t="s">
        <v>109</v>
      </c>
      <c r="E70" s="5">
        <v>25</v>
      </c>
      <c r="F70" s="5" t="s">
        <v>23</v>
      </c>
      <c r="G70" s="5" t="s">
        <v>114</v>
      </c>
      <c r="H70" s="5" t="s">
        <v>115</v>
      </c>
      <c r="I70" s="5" t="s">
        <v>38</v>
      </c>
      <c r="J70" s="5" t="s">
        <v>272</v>
      </c>
      <c r="K70" s="5" t="s">
        <v>73</v>
      </c>
      <c r="L70" s="5" t="s">
        <v>144</v>
      </c>
      <c r="M70" s="5">
        <v>4</v>
      </c>
      <c r="N70" s="5">
        <v>3500</v>
      </c>
      <c r="O70" s="5">
        <v>12</v>
      </c>
      <c r="P70" s="5" t="s">
        <v>129</v>
      </c>
      <c r="Q70" s="5" t="s">
        <v>31</v>
      </c>
      <c r="R70" s="5">
        <v>12320</v>
      </c>
      <c r="S70" s="5">
        <v>8000</v>
      </c>
      <c r="T70" s="8">
        <v>4320</v>
      </c>
      <c r="V70" t="str">
        <f t="shared" si="1"/>
        <v>18-25</v>
      </c>
    </row>
    <row r="71" spans="1:22" x14ac:dyDescent="0.3">
      <c r="A71" s="6" t="s">
        <v>273</v>
      </c>
      <c r="B71" s="12">
        <v>45726</v>
      </c>
      <c r="C71" s="7" t="s">
        <v>274</v>
      </c>
      <c r="D71" s="7" t="s">
        <v>205</v>
      </c>
      <c r="E71" s="7">
        <v>57</v>
      </c>
      <c r="F71" s="7" t="s">
        <v>35</v>
      </c>
      <c r="G71" s="7" t="s">
        <v>24</v>
      </c>
      <c r="H71" s="7" t="s">
        <v>25</v>
      </c>
      <c r="I71" s="7" t="s">
        <v>26</v>
      </c>
      <c r="J71" s="7" t="s">
        <v>199</v>
      </c>
      <c r="K71" s="7" t="s">
        <v>40</v>
      </c>
      <c r="L71" s="7" t="s">
        <v>80</v>
      </c>
      <c r="M71" s="7">
        <v>1</v>
      </c>
      <c r="N71" s="7">
        <v>10000</v>
      </c>
      <c r="O71" s="7">
        <v>5</v>
      </c>
      <c r="P71" s="7" t="s">
        <v>42</v>
      </c>
      <c r="Q71" s="7" t="s">
        <v>31</v>
      </c>
      <c r="R71" s="7">
        <v>9500</v>
      </c>
      <c r="S71" s="7">
        <v>7000</v>
      </c>
      <c r="T71" s="9">
        <v>2500</v>
      </c>
      <c r="V71" t="str">
        <f t="shared" si="1"/>
        <v>46+</v>
      </c>
    </row>
    <row r="72" spans="1:22" x14ac:dyDescent="0.3">
      <c r="A72" s="4" t="s">
        <v>275</v>
      </c>
      <c r="B72" s="11">
        <v>45724</v>
      </c>
      <c r="C72" s="5" t="s">
        <v>276</v>
      </c>
      <c r="D72" s="5" t="s">
        <v>128</v>
      </c>
      <c r="E72" s="5">
        <v>44</v>
      </c>
      <c r="F72" s="5" t="s">
        <v>23</v>
      </c>
      <c r="G72" s="5" t="s">
        <v>151</v>
      </c>
      <c r="H72" s="5" t="s">
        <v>152</v>
      </c>
      <c r="I72" s="5" t="s">
        <v>38</v>
      </c>
      <c r="J72" s="5" t="s">
        <v>277</v>
      </c>
      <c r="K72" s="5" t="s">
        <v>49</v>
      </c>
      <c r="L72" s="5" t="s">
        <v>50</v>
      </c>
      <c r="M72" s="5">
        <v>3</v>
      </c>
      <c r="N72" s="5">
        <v>30000</v>
      </c>
      <c r="O72" s="5">
        <v>10</v>
      </c>
      <c r="P72" s="5" t="s">
        <v>129</v>
      </c>
      <c r="Q72" s="5" t="s">
        <v>31</v>
      </c>
      <c r="R72" s="5">
        <v>81000</v>
      </c>
      <c r="S72" s="5">
        <v>66000</v>
      </c>
      <c r="T72" s="8">
        <v>15000</v>
      </c>
      <c r="V72" t="str">
        <f t="shared" si="1"/>
        <v>36-45</v>
      </c>
    </row>
    <row r="73" spans="1:22" x14ac:dyDescent="0.3">
      <c r="A73" s="6" t="s">
        <v>278</v>
      </c>
      <c r="B73" s="12">
        <v>45732</v>
      </c>
      <c r="C73" s="7" t="s">
        <v>102</v>
      </c>
      <c r="D73" s="7" t="s">
        <v>205</v>
      </c>
      <c r="E73" s="7">
        <v>60</v>
      </c>
      <c r="F73" s="7" t="s">
        <v>35</v>
      </c>
      <c r="G73" s="7" t="s">
        <v>137</v>
      </c>
      <c r="H73" s="7" t="s">
        <v>37</v>
      </c>
      <c r="I73" s="7" t="s">
        <v>26</v>
      </c>
      <c r="J73" s="7" t="s">
        <v>265</v>
      </c>
      <c r="K73" s="7" t="s">
        <v>57</v>
      </c>
      <c r="L73" s="7" t="s">
        <v>58</v>
      </c>
      <c r="M73" s="7">
        <v>2</v>
      </c>
      <c r="N73" s="7">
        <v>1800</v>
      </c>
      <c r="O73" s="7">
        <v>5</v>
      </c>
      <c r="P73" s="7" t="s">
        <v>59</v>
      </c>
      <c r="Q73" s="7" t="s">
        <v>31</v>
      </c>
      <c r="R73" s="7">
        <v>3420</v>
      </c>
      <c r="S73" s="7">
        <v>2000</v>
      </c>
      <c r="T73" s="9">
        <v>1420</v>
      </c>
      <c r="V73" t="str">
        <f t="shared" si="1"/>
        <v>46+</v>
      </c>
    </row>
    <row r="74" spans="1:22" x14ac:dyDescent="0.3">
      <c r="A74" s="4" t="s">
        <v>279</v>
      </c>
      <c r="B74" s="11">
        <v>45693</v>
      </c>
      <c r="C74" s="5" t="s">
        <v>127</v>
      </c>
      <c r="D74" s="5" t="s">
        <v>99</v>
      </c>
      <c r="E74" s="5">
        <v>56</v>
      </c>
      <c r="F74" s="5" t="s">
        <v>23</v>
      </c>
      <c r="G74" s="5" t="s">
        <v>104</v>
      </c>
      <c r="H74" s="5" t="s">
        <v>105</v>
      </c>
      <c r="I74" s="5" t="s">
        <v>38</v>
      </c>
      <c r="J74" s="5" t="s">
        <v>256</v>
      </c>
      <c r="K74" s="5" t="s">
        <v>57</v>
      </c>
      <c r="L74" s="5" t="s">
        <v>58</v>
      </c>
      <c r="M74" s="5">
        <v>3</v>
      </c>
      <c r="N74" s="5">
        <v>1800</v>
      </c>
      <c r="O74" s="5">
        <v>12</v>
      </c>
      <c r="P74" s="5" t="s">
        <v>59</v>
      </c>
      <c r="Q74" s="5" t="s">
        <v>86</v>
      </c>
      <c r="R74" s="5">
        <v>4752</v>
      </c>
      <c r="S74" s="5">
        <v>3000</v>
      </c>
      <c r="T74" s="8">
        <v>1752</v>
      </c>
      <c r="V74" t="str">
        <f t="shared" si="1"/>
        <v>46+</v>
      </c>
    </row>
    <row r="75" spans="1:22" x14ac:dyDescent="0.3">
      <c r="A75" s="6" t="s">
        <v>280</v>
      </c>
      <c r="B75" s="12">
        <v>45723</v>
      </c>
      <c r="C75" s="7" t="s">
        <v>133</v>
      </c>
      <c r="D75" s="7" t="s">
        <v>267</v>
      </c>
      <c r="E75" s="7">
        <v>56</v>
      </c>
      <c r="F75" s="7" t="s">
        <v>35</v>
      </c>
      <c r="G75" s="7" t="s">
        <v>24</v>
      </c>
      <c r="H75" s="7" t="s">
        <v>25</v>
      </c>
      <c r="I75" s="7" t="s">
        <v>38</v>
      </c>
      <c r="J75" s="7" t="s">
        <v>281</v>
      </c>
      <c r="K75" s="7" t="s">
        <v>49</v>
      </c>
      <c r="L75" s="7" t="s">
        <v>191</v>
      </c>
      <c r="M75" s="7">
        <v>1</v>
      </c>
      <c r="N75" s="7">
        <v>2000</v>
      </c>
      <c r="O75" s="7">
        <v>5</v>
      </c>
      <c r="P75" s="7" t="s">
        <v>30</v>
      </c>
      <c r="Q75" s="7" t="s">
        <v>31</v>
      </c>
      <c r="R75" s="7">
        <v>1900</v>
      </c>
      <c r="S75" s="7">
        <v>1200</v>
      </c>
      <c r="T75" s="9">
        <v>700</v>
      </c>
      <c r="V75" t="str">
        <f t="shared" si="1"/>
        <v>46+</v>
      </c>
    </row>
    <row r="76" spans="1:22" x14ac:dyDescent="0.3">
      <c r="A76" s="4" t="s">
        <v>282</v>
      </c>
      <c r="B76" s="11">
        <v>45725</v>
      </c>
      <c r="C76" s="5" t="s">
        <v>182</v>
      </c>
      <c r="D76" s="5" t="s">
        <v>283</v>
      </c>
      <c r="E76" s="5">
        <v>51</v>
      </c>
      <c r="F76" s="5" t="s">
        <v>23</v>
      </c>
      <c r="G76" s="5" t="s">
        <v>141</v>
      </c>
      <c r="H76" s="5" t="s">
        <v>142</v>
      </c>
      <c r="I76" s="5" t="s">
        <v>38</v>
      </c>
      <c r="J76" s="5" t="s">
        <v>100</v>
      </c>
      <c r="K76" s="5" t="s">
        <v>49</v>
      </c>
      <c r="L76" s="5" t="s">
        <v>85</v>
      </c>
      <c r="M76" s="5">
        <v>4</v>
      </c>
      <c r="N76" s="5">
        <v>5000</v>
      </c>
      <c r="O76" s="5">
        <v>12</v>
      </c>
      <c r="P76" s="5" t="s">
        <v>30</v>
      </c>
      <c r="Q76" s="5" t="s">
        <v>60</v>
      </c>
      <c r="R76" s="5">
        <v>17600</v>
      </c>
      <c r="S76" s="5">
        <v>12800</v>
      </c>
      <c r="T76" s="8">
        <v>4800</v>
      </c>
      <c r="V76" t="str">
        <f t="shared" si="1"/>
        <v>46+</v>
      </c>
    </row>
    <row r="77" spans="1:22" x14ac:dyDescent="0.3">
      <c r="A77" s="6" t="s">
        <v>284</v>
      </c>
      <c r="B77" s="12">
        <v>45711</v>
      </c>
      <c r="C77" s="7" t="s">
        <v>173</v>
      </c>
      <c r="D77" s="7" t="s">
        <v>234</v>
      </c>
      <c r="E77" s="7">
        <v>60</v>
      </c>
      <c r="F77" s="7" t="s">
        <v>35</v>
      </c>
      <c r="G77" s="7" t="s">
        <v>36</v>
      </c>
      <c r="H77" s="7" t="s">
        <v>37</v>
      </c>
      <c r="I77" s="7" t="s">
        <v>26</v>
      </c>
      <c r="J77" s="7" t="s">
        <v>285</v>
      </c>
      <c r="K77" s="7" t="s">
        <v>49</v>
      </c>
      <c r="L77" s="7" t="s">
        <v>154</v>
      </c>
      <c r="M77" s="7">
        <v>3</v>
      </c>
      <c r="N77" s="7">
        <v>1000</v>
      </c>
      <c r="O77" s="7">
        <v>12</v>
      </c>
      <c r="P77" s="7" t="s">
        <v>30</v>
      </c>
      <c r="Q77" s="7" t="s">
        <v>60</v>
      </c>
      <c r="R77" s="7">
        <v>2640</v>
      </c>
      <c r="S77" s="7">
        <v>1500</v>
      </c>
      <c r="T77" s="9">
        <v>1140</v>
      </c>
      <c r="V77" t="str">
        <f t="shared" si="1"/>
        <v>46+</v>
      </c>
    </row>
    <row r="78" spans="1:22" x14ac:dyDescent="0.3">
      <c r="A78" s="4" t="s">
        <v>286</v>
      </c>
      <c r="B78" s="11">
        <v>45694</v>
      </c>
      <c r="C78" s="5" t="s">
        <v>287</v>
      </c>
      <c r="D78" s="5" t="s">
        <v>234</v>
      </c>
      <c r="E78" s="5">
        <v>25</v>
      </c>
      <c r="F78" s="5" t="s">
        <v>35</v>
      </c>
      <c r="G78" s="5" t="s">
        <v>137</v>
      </c>
      <c r="H78" s="5" t="s">
        <v>37</v>
      </c>
      <c r="I78" s="5" t="s">
        <v>38</v>
      </c>
      <c r="J78" s="5" t="s">
        <v>265</v>
      </c>
      <c r="K78" s="5" t="s">
        <v>73</v>
      </c>
      <c r="L78" s="5" t="s">
        <v>74</v>
      </c>
      <c r="M78" s="5">
        <v>4</v>
      </c>
      <c r="N78" s="5">
        <v>1500</v>
      </c>
      <c r="O78" s="5">
        <v>12</v>
      </c>
      <c r="P78" s="5" t="s">
        <v>30</v>
      </c>
      <c r="Q78" s="5" t="s">
        <v>31</v>
      </c>
      <c r="R78" s="5">
        <v>5280</v>
      </c>
      <c r="S78" s="5">
        <v>3600</v>
      </c>
      <c r="T78" s="8">
        <v>1680</v>
      </c>
      <c r="V78" t="str">
        <f t="shared" si="1"/>
        <v>18-25</v>
      </c>
    </row>
    <row r="79" spans="1:22" x14ac:dyDescent="0.3">
      <c r="A79" s="6" t="s">
        <v>288</v>
      </c>
      <c r="B79" s="12">
        <v>45722</v>
      </c>
      <c r="C79" s="7" t="s">
        <v>289</v>
      </c>
      <c r="D79" s="7" t="s">
        <v>157</v>
      </c>
      <c r="E79" s="7">
        <v>21</v>
      </c>
      <c r="F79" s="7" t="s">
        <v>35</v>
      </c>
      <c r="G79" s="7" t="s">
        <v>54</v>
      </c>
      <c r="H79" s="7" t="s">
        <v>55</v>
      </c>
      <c r="I79" s="7" t="s">
        <v>38</v>
      </c>
      <c r="J79" s="7" t="s">
        <v>138</v>
      </c>
      <c r="K79" s="7" t="s">
        <v>73</v>
      </c>
      <c r="L79" s="7" t="s">
        <v>144</v>
      </c>
      <c r="M79" s="7">
        <v>4</v>
      </c>
      <c r="N79" s="7">
        <v>3500</v>
      </c>
      <c r="O79" s="7">
        <v>12</v>
      </c>
      <c r="P79" s="7" t="s">
        <v>30</v>
      </c>
      <c r="Q79" s="7" t="s">
        <v>31</v>
      </c>
      <c r="R79" s="7">
        <v>12320</v>
      </c>
      <c r="S79" s="7">
        <v>8000</v>
      </c>
      <c r="T79" s="9">
        <v>4320</v>
      </c>
      <c r="V79" t="str">
        <f t="shared" si="1"/>
        <v>18-25</v>
      </c>
    </row>
    <row r="80" spans="1:22" x14ac:dyDescent="0.3">
      <c r="A80" s="4" t="s">
        <v>290</v>
      </c>
      <c r="B80" s="11">
        <v>45729</v>
      </c>
      <c r="C80" s="5" t="s">
        <v>197</v>
      </c>
      <c r="D80" s="5" t="s">
        <v>150</v>
      </c>
      <c r="E80" s="5">
        <v>37</v>
      </c>
      <c r="F80" s="5" t="s">
        <v>23</v>
      </c>
      <c r="G80" s="5" t="s">
        <v>114</v>
      </c>
      <c r="H80" s="5" t="s">
        <v>115</v>
      </c>
      <c r="I80" s="5" t="s">
        <v>26</v>
      </c>
      <c r="J80" s="5" t="s">
        <v>242</v>
      </c>
      <c r="K80" s="5" t="s">
        <v>73</v>
      </c>
      <c r="L80" s="5" t="s">
        <v>131</v>
      </c>
      <c r="M80" s="5">
        <v>2</v>
      </c>
      <c r="N80" s="5">
        <v>2000</v>
      </c>
      <c r="O80" s="5">
        <v>0</v>
      </c>
      <c r="P80" s="5" t="s">
        <v>129</v>
      </c>
      <c r="Q80" s="5" t="s">
        <v>31</v>
      </c>
      <c r="R80" s="5">
        <v>4000</v>
      </c>
      <c r="S80" s="5">
        <v>2600</v>
      </c>
      <c r="T80" s="8">
        <v>1400</v>
      </c>
      <c r="V80" t="str">
        <f t="shared" si="1"/>
        <v>36-45</v>
      </c>
    </row>
    <row r="81" spans="1:22" x14ac:dyDescent="0.3">
      <c r="A81" s="6" t="s">
        <v>291</v>
      </c>
      <c r="B81" s="12">
        <v>45730</v>
      </c>
      <c r="C81" s="7" t="s">
        <v>292</v>
      </c>
      <c r="D81" s="7" t="s">
        <v>293</v>
      </c>
      <c r="E81" s="7">
        <v>50</v>
      </c>
      <c r="F81" s="7" t="s">
        <v>35</v>
      </c>
      <c r="G81" s="7" t="s">
        <v>104</v>
      </c>
      <c r="H81" s="7" t="s">
        <v>105</v>
      </c>
      <c r="I81" s="7" t="s">
        <v>38</v>
      </c>
      <c r="J81" s="7" t="s">
        <v>211</v>
      </c>
      <c r="K81" s="7" t="s">
        <v>57</v>
      </c>
      <c r="L81" s="7" t="s">
        <v>202</v>
      </c>
      <c r="M81" s="7">
        <v>2</v>
      </c>
      <c r="N81" s="7">
        <v>4000</v>
      </c>
      <c r="O81" s="7">
        <v>12</v>
      </c>
      <c r="P81" s="7" t="s">
        <v>42</v>
      </c>
      <c r="Q81" s="7" t="s">
        <v>60</v>
      </c>
      <c r="R81" s="7">
        <v>7040</v>
      </c>
      <c r="S81" s="7">
        <v>5200</v>
      </c>
      <c r="T81" s="9">
        <v>1840</v>
      </c>
      <c r="V81" t="str">
        <f t="shared" si="1"/>
        <v>46+</v>
      </c>
    </row>
    <row r="82" spans="1:22" x14ac:dyDescent="0.3">
      <c r="A82" s="4" t="s">
        <v>294</v>
      </c>
      <c r="B82" s="11">
        <v>45701</v>
      </c>
      <c r="C82" s="5" t="s">
        <v>251</v>
      </c>
      <c r="D82" s="5" t="s">
        <v>136</v>
      </c>
      <c r="E82" s="5">
        <v>35</v>
      </c>
      <c r="F82" s="5" t="s">
        <v>23</v>
      </c>
      <c r="G82" s="5" t="s">
        <v>137</v>
      </c>
      <c r="H82" s="5" t="s">
        <v>37</v>
      </c>
      <c r="I82" s="5" t="s">
        <v>38</v>
      </c>
      <c r="J82" s="5" t="s">
        <v>174</v>
      </c>
      <c r="K82" s="5" t="s">
        <v>49</v>
      </c>
      <c r="L82" s="5" t="s">
        <v>191</v>
      </c>
      <c r="M82" s="5">
        <v>3</v>
      </c>
      <c r="N82" s="5">
        <v>2000</v>
      </c>
      <c r="O82" s="5">
        <v>10</v>
      </c>
      <c r="P82" s="5" t="s">
        <v>129</v>
      </c>
      <c r="Q82" s="5" t="s">
        <v>31</v>
      </c>
      <c r="R82" s="5">
        <v>5400</v>
      </c>
      <c r="S82" s="5">
        <v>3600</v>
      </c>
      <c r="T82" s="8">
        <v>1800</v>
      </c>
      <c r="V82" t="str">
        <f t="shared" si="1"/>
        <v>26-35</v>
      </c>
    </row>
    <row r="83" spans="1:22" x14ac:dyDescent="0.3">
      <c r="A83" s="6" t="s">
        <v>295</v>
      </c>
      <c r="B83" s="12">
        <v>45717</v>
      </c>
      <c r="C83" s="7" t="s">
        <v>149</v>
      </c>
      <c r="D83" s="7" t="s">
        <v>234</v>
      </c>
      <c r="E83" s="7">
        <v>39</v>
      </c>
      <c r="F83" s="7" t="s">
        <v>35</v>
      </c>
      <c r="G83" s="7" t="s">
        <v>114</v>
      </c>
      <c r="H83" s="7" t="s">
        <v>115</v>
      </c>
      <c r="I83" s="7" t="s">
        <v>38</v>
      </c>
      <c r="J83" s="7" t="s">
        <v>168</v>
      </c>
      <c r="K83" s="7" t="s">
        <v>57</v>
      </c>
      <c r="L83" s="7" t="s">
        <v>121</v>
      </c>
      <c r="M83" s="7">
        <v>2</v>
      </c>
      <c r="N83" s="7">
        <v>2500</v>
      </c>
      <c r="O83" s="7">
        <v>15</v>
      </c>
      <c r="P83" s="7" t="s">
        <v>129</v>
      </c>
      <c r="Q83" s="7" t="s">
        <v>31</v>
      </c>
      <c r="R83" s="7">
        <v>4250</v>
      </c>
      <c r="S83" s="7">
        <v>3000</v>
      </c>
      <c r="T83" s="9">
        <v>1250</v>
      </c>
      <c r="V83" t="str">
        <f t="shared" si="1"/>
        <v>36-45</v>
      </c>
    </row>
    <row r="84" spans="1:22" x14ac:dyDescent="0.3">
      <c r="A84" s="4" t="s">
        <v>296</v>
      </c>
      <c r="B84" s="11">
        <v>45738</v>
      </c>
      <c r="C84" s="5" t="s">
        <v>173</v>
      </c>
      <c r="D84" s="5" t="s">
        <v>198</v>
      </c>
      <c r="E84" s="5">
        <v>48</v>
      </c>
      <c r="F84" s="5" t="s">
        <v>23</v>
      </c>
      <c r="G84" s="5" t="s">
        <v>104</v>
      </c>
      <c r="H84" s="5" t="s">
        <v>105</v>
      </c>
      <c r="I84" s="5" t="s">
        <v>38</v>
      </c>
      <c r="J84" s="5" t="s">
        <v>285</v>
      </c>
      <c r="K84" s="5" t="s">
        <v>57</v>
      </c>
      <c r="L84" s="5" t="s">
        <v>96</v>
      </c>
      <c r="M84" s="5">
        <v>1</v>
      </c>
      <c r="N84" s="5">
        <v>4500</v>
      </c>
      <c r="O84" s="5">
        <v>5</v>
      </c>
      <c r="P84" s="5" t="s">
        <v>59</v>
      </c>
      <c r="Q84" s="5" t="s">
        <v>31</v>
      </c>
      <c r="R84" s="5">
        <v>4275</v>
      </c>
      <c r="S84" s="5">
        <v>2800</v>
      </c>
      <c r="T84" s="8">
        <v>1475</v>
      </c>
      <c r="V84" t="str">
        <f t="shared" si="1"/>
        <v>46+</v>
      </c>
    </row>
    <row r="85" spans="1:22" x14ac:dyDescent="0.3">
      <c r="A85" s="6" t="s">
        <v>297</v>
      </c>
      <c r="B85" s="12">
        <v>45717</v>
      </c>
      <c r="C85" s="7" t="s">
        <v>298</v>
      </c>
      <c r="D85" s="7" t="s">
        <v>299</v>
      </c>
      <c r="E85" s="7">
        <v>27</v>
      </c>
      <c r="F85" s="7" t="s">
        <v>35</v>
      </c>
      <c r="G85" s="7" t="s">
        <v>78</v>
      </c>
      <c r="H85" s="7" t="s">
        <v>65</v>
      </c>
      <c r="I85" s="7" t="s">
        <v>26</v>
      </c>
      <c r="J85" s="7" t="s">
        <v>199</v>
      </c>
      <c r="K85" s="7" t="s">
        <v>28</v>
      </c>
      <c r="L85" s="7" t="s">
        <v>188</v>
      </c>
      <c r="M85" s="7">
        <v>3</v>
      </c>
      <c r="N85" s="7">
        <v>8000</v>
      </c>
      <c r="O85" s="7">
        <v>15</v>
      </c>
      <c r="P85" s="7" t="s">
        <v>129</v>
      </c>
      <c r="Q85" s="7" t="s">
        <v>31</v>
      </c>
      <c r="R85" s="7">
        <v>20400</v>
      </c>
      <c r="S85" s="7">
        <v>16500</v>
      </c>
      <c r="T85" s="9">
        <v>3900</v>
      </c>
      <c r="V85" t="str">
        <f t="shared" si="1"/>
        <v>26-35</v>
      </c>
    </row>
    <row r="86" spans="1:22" x14ac:dyDescent="0.3">
      <c r="A86" s="4" t="s">
        <v>300</v>
      </c>
      <c r="B86" s="11">
        <v>45710</v>
      </c>
      <c r="C86" s="5" t="s">
        <v>301</v>
      </c>
      <c r="D86" s="5" t="s">
        <v>234</v>
      </c>
      <c r="E86" s="5">
        <v>58</v>
      </c>
      <c r="F86" s="5" t="s">
        <v>35</v>
      </c>
      <c r="G86" s="5" t="s">
        <v>104</v>
      </c>
      <c r="H86" s="5" t="s">
        <v>105</v>
      </c>
      <c r="I86" s="5" t="s">
        <v>38</v>
      </c>
      <c r="J86" s="5" t="s">
        <v>187</v>
      </c>
      <c r="K86" s="5" t="s">
        <v>73</v>
      </c>
      <c r="L86" s="5" t="s">
        <v>74</v>
      </c>
      <c r="M86" s="5">
        <v>1</v>
      </c>
      <c r="N86" s="5">
        <v>1500</v>
      </c>
      <c r="O86" s="5">
        <v>5</v>
      </c>
      <c r="P86" s="5" t="s">
        <v>59</v>
      </c>
      <c r="Q86" s="5" t="s">
        <v>31</v>
      </c>
      <c r="R86" s="5">
        <v>1425</v>
      </c>
      <c r="S86" s="5">
        <v>900</v>
      </c>
      <c r="T86" s="8">
        <v>525</v>
      </c>
      <c r="V86" t="str">
        <f t="shared" si="1"/>
        <v>46+</v>
      </c>
    </row>
    <row r="87" spans="1:22" x14ac:dyDescent="0.3">
      <c r="A87" s="6" t="s">
        <v>302</v>
      </c>
      <c r="B87" s="12">
        <v>45736</v>
      </c>
      <c r="C87" s="7" t="s">
        <v>303</v>
      </c>
      <c r="D87" s="7" t="s">
        <v>267</v>
      </c>
      <c r="E87" s="7">
        <v>58</v>
      </c>
      <c r="F87" s="7" t="s">
        <v>35</v>
      </c>
      <c r="G87" s="7" t="s">
        <v>104</v>
      </c>
      <c r="H87" s="7" t="s">
        <v>105</v>
      </c>
      <c r="I87" s="7" t="s">
        <v>26</v>
      </c>
      <c r="J87" s="7" t="s">
        <v>206</v>
      </c>
      <c r="K87" s="7" t="s">
        <v>57</v>
      </c>
      <c r="L87" s="7" t="s">
        <v>96</v>
      </c>
      <c r="M87" s="7">
        <v>1</v>
      </c>
      <c r="N87" s="7">
        <v>4500</v>
      </c>
      <c r="O87" s="7">
        <v>0</v>
      </c>
      <c r="P87" s="7" t="s">
        <v>59</v>
      </c>
      <c r="Q87" s="7" t="s">
        <v>31</v>
      </c>
      <c r="R87" s="7">
        <v>4500</v>
      </c>
      <c r="S87" s="7">
        <v>2800</v>
      </c>
      <c r="T87" s="9">
        <v>1700</v>
      </c>
      <c r="V87" t="str">
        <f t="shared" si="1"/>
        <v>46+</v>
      </c>
    </row>
    <row r="88" spans="1:22" x14ac:dyDescent="0.3">
      <c r="A88" s="4" t="s">
        <v>304</v>
      </c>
      <c r="B88" s="11">
        <v>45707</v>
      </c>
      <c r="C88" s="5" t="s">
        <v>305</v>
      </c>
      <c r="D88" s="5" t="s">
        <v>223</v>
      </c>
      <c r="E88" s="5">
        <v>27</v>
      </c>
      <c r="F88" s="5" t="s">
        <v>35</v>
      </c>
      <c r="G88" s="5" t="s">
        <v>54</v>
      </c>
      <c r="H88" s="5" t="s">
        <v>55</v>
      </c>
      <c r="I88" s="5" t="s">
        <v>38</v>
      </c>
      <c r="J88" s="5" t="s">
        <v>120</v>
      </c>
      <c r="K88" s="5" t="s">
        <v>73</v>
      </c>
      <c r="L88" s="5" t="s">
        <v>144</v>
      </c>
      <c r="M88" s="5">
        <v>2</v>
      </c>
      <c r="N88" s="5">
        <v>3500</v>
      </c>
      <c r="O88" s="5">
        <v>0</v>
      </c>
      <c r="P88" s="5" t="s">
        <v>129</v>
      </c>
      <c r="Q88" s="5" t="s">
        <v>86</v>
      </c>
      <c r="R88" s="5">
        <v>7000</v>
      </c>
      <c r="S88" s="5">
        <v>4000</v>
      </c>
      <c r="T88" s="8">
        <v>3000</v>
      </c>
      <c r="V88" t="str">
        <f t="shared" si="1"/>
        <v>26-35</v>
      </c>
    </row>
    <row r="89" spans="1:22" x14ac:dyDescent="0.3">
      <c r="A89" s="6" t="s">
        <v>306</v>
      </c>
      <c r="B89" s="12">
        <v>45732</v>
      </c>
      <c r="C89" s="7" t="s">
        <v>226</v>
      </c>
      <c r="D89" s="7" t="s">
        <v>205</v>
      </c>
      <c r="E89" s="7">
        <v>27</v>
      </c>
      <c r="F89" s="7" t="s">
        <v>35</v>
      </c>
      <c r="G89" s="7" t="s">
        <v>54</v>
      </c>
      <c r="H89" s="7" t="s">
        <v>55</v>
      </c>
      <c r="I89" s="7" t="s">
        <v>38</v>
      </c>
      <c r="J89" s="7" t="s">
        <v>199</v>
      </c>
      <c r="K89" s="7" t="s">
        <v>49</v>
      </c>
      <c r="L89" s="7" t="s">
        <v>154</v>
      </c>
      <c r="M89" s="7">
        <v>1</v>
      </c>
      <c r="N89" s="7">
        <v>1000</v>
      </c>
      <c r="O89" s="7">
        <v>12</v>
      </c>
      <c r="P89" s="7" t="s">
        <v>59</v>
      </c>
      <c r="Q89" s="7" t="s">
        <v>86</v>
      </c>
      <c r="R89" s="7">
        <v>880</v>
      </c>
      <c r="S89" s="7">
        <v>500</v>
      </c>
      <c r="T89" s="9">
        <v>380</v>
      </c>
      <c r="V89" t="str">
        <f t="shared" si="1"/>
        <v>26-35</v>
      </c>
    </row>
    <row r="90" spans="1:22" x14ac:dyDescent="0.3">
      <c r="A90" s="4" t="s">
        <v>307</v>
      </c>
      <c r="B90" s="11">
        <v>45699</v>
      </c>
      <c r="C90" s="5" t="s">
        <v>276</v>
      </c>
      <c r="D90" s="5" t="s">
        <v>234</v>
      </c>
      <c r="E90" s="5">
        <v>55</v>
      </c>
      <c r="F90" s="5" t="s">
        <v>35</v>
      </c>
      <c r="G90" s="5" t="s">
        <v>64</v>
      </c>
      <c r="H90" s="5" t="s">
        <v>65</v>
      </c>
      <c r="I90" s="5" t="s">
        <v>38</v>
      </c>
      <c r="J90" s="5" t="s">
        <v>206</v>
      </c>
      <c r="K90" s="5" t="s">
        <v>49</v>
      </c>
      <c r="L90" s="5" t="s">
        <v>154</v>
      </c>
      <c r="M90" s="5">
        <v>2</v>
      </c>
      <c r="N90" s="5">
        <v>1000</v>
      </c>
      <c r="O90" s="5">
        <v>12</v>
      </c>
      <c r="P90" s="5" t="s">
        <v>129</v>
      </c>
      <c r="Q90" s="5" t="s">
        <v>31</v>
      </c>
      <c r="R90" s="5">
        <v>1760</v>
      </c>
      <c r="S90" s="5">
        <v>1000</v>
      </c>
      <c r="T90" s="8">
        <v>760</v>
      </c>
      <c r="V90" t="str">
        <f t="shared" si="1"/>
        <v>46+</v>
      </c>
    </row>
    <row r="91" spans="1:22" x14ac:dyDescent="0.3">
      <c r="A91" s="6" t="s">
        <v>308</v>
      </c>
      <c r="B91" s="12">
        <v>45704</v>
      </c>
      <c r="C91" s="7" t="s">
        <v>309</v>
      </c>
      <c r="D91" s="7" t="s">
        <v>205</v>
      </c>
      <c r="E91" s="7">
        <v>36</v>
      </c>
      <c r="F91" s="7" t="s">
        <v>35</v>
      </c>
      <c r="G91" s="7" t="s">
        <v>104</v>
      </c>
      <c r="H91" s="7" t="s">
        <v>105</v>
      </c>
      <c r="I91" s="7" t="s">
        <v>38</v>
      </c>
      <c r="J91" s="7" t="s">
        <v>239</v>
      </c>
      <c r="K91" s="7" t="s">
        <v>28</v>
      </c>
      <c r="L91" s="7" t="s">
        <v>188</v>
      </c>
      <c r="M91" s="7">
        <v>1</v>
      </c>
      <c r="N91" s="7">
        <v>8000</v>
      </c>
      <c r="O91" s="7">
        <v>15</v>
      </c>
      <c r="P91" s="7" t="s">
        <v>30</v>
      </c>
      <c r="Q91" s="7" t="s">
        <v>86</v>
      </c>
      <c r="R91" s="7">
        <v>6800</v>
      </c>
      <c r="S91" s="7">
        <v>5500</v>
      </c>
      <c r="T91" s="9">
        <v>1300</v>
      </c>
      <c r="V91" t="str">
        <f t="shared" si="1"/>
        <v>36-45</v>
      </c>
    </row>
    <row r="92" spans="1:22" x14ac:dyDescent="0.3">
      <c r="A92" s="4" t="s">
        <v>310</v>
      </c>
      <c r="B92" s="11">
        <v>45736</v>
      </c>
      <c r="C92" s="5" t="s">
        <v>133</v>
      </c>
      <c r="D92" s="5" t="s">
        <v>164</v>
      </c>
      <c r="E92" s="5">
        <v>56</v>
      </c>
      <c r="F92" s="5" t="s">
        <v>35</v>
      </c>
      <c r="G92" s="5" t="s">
        <v>137</v>
      </c>
      <c r="H92" s="5" t="s">
        <v>37</v>
      </c>
      <c r="I92" s="5" t="s">
        <v>38</v>
      </c>
      <c r="J92" s="5" t="s">
        <v>187</v>
      </c>
      <c r="K92" s="5" t="s">
        <v>40</v>
      </c>
      <c r="L92" s="5" t="s">
        <v>80</v>
      </c>
      <c r="M92" s="5">
        <v>3</v>
      </c>
      <c r="N92" s="5">
        <v>10000</v>
      </c>
      <c r="O92" s="5">
        <v>5</v>
      </c>
      <c r="P92" s="5" t="s">
        <v>30</v>
      </c>
      <c r="Q92" s="5" t="s">
        <v>31</v>
      </c>
      <c r="R92" s="5">
        <v>28500</v>
      </c>
      <c r="S92" s="5">
        <v>21000</v>
      </c>
      <c r="T92" s="8">
        <v>7500</v>
      </c>
      <c r="V92" t="str">
        <f t="shared" si="1"/>
        <v>46+</v>
      </c>
    </row>
    <row r="93" spans="1:22" x14ac:dyDescent="0.3">
      <c r="A93" s="6" t="s">
        <v>311</v>
      </c>
      <c r="B93" s="12">
        <v>45708</v>
      </c>
      <c r="C93" s="7" t="s">
        <v>312</v>
      </c>
      <c r="D93" s="7" t="s">
        <v>124</v>
      </c>
      <c r="E93" s="7">
        <v>41</v>
      </c>
      <c r="F93" s="7" t="s">
        <v>23</v>
      </c>
      <c r="G93" s="7" t="s">
        <v>104</v>
      </c>
      <c r="H93" s="7" t="s">
        <v>105</v>
      </c>
      <c r="I93" s="7" t="s">
        <v>26</v>
      </c>
      <c r="J93" s="7" t="s">
        <v>178</v>
      </c>
      <c r="K93" s="7" t="s">
        <v>28</v>
      </c>
      <c r="L93" s="7" t="s">
        <v>91</v>
      </c>
      <c r="M93" s="7">
        <v>4</v>
      </c>
      <c r="N93" s="7">
        <v>15000</v>
      </c>
      <c r="O93" s="7">
        <v>5</v>
      </c>
      <c r="P93" s="7" t="s">
        <v>42</v>
      </c>
      <c r="Q93" s="7" t="s">
        <v>31</v>
      </c>
      <c r="R93" s="7">
        <v>57000</v>
      </c>
      <c r="S93" s="7">
        <v>44000</v>
      </c>
      <c r="T93" s="9">
        <v>13000</v>
      </c>
      <c r="V93" t="str">
        <f t="shared" si="1"/>
        <v>36-45</v>
      </c>
    </row>
    <row r="94" spans="1:22" x14ac:dyDescent="0.3">
      <c r="A94" s="4" t="s">
        <v>313</v>
      </c>
      <c r="B94" s="11">
        <v>45739</v>
      </c>
      <c r="C94" s="5" t="s">
        <v>245</v>
      </c>
      <c r="D94" s="5" t="s">
        <v>83</v>
      </c>
      <c r="E94" s="5">
        <v>50</v>
      </c>
      <c r="F94" s="5" t="s">
        <v>35</v>
      </c>
      <c r="G94" s="5" t="s">
        <v>64</v>
      </c>
      <c r="H94" s="5" t="s">
        <v>65</v>
      </c>
      <c r="I94" s="5" t="s">
        <v>26</v>
      </c>
      <c r="J94" s="5" t="s">
        <v>138</v>
      </c>
      <c r="K94" s="5" t="s">
        <v>49</v>
      </c>
      <c r="L94" s="5" t="s">
        <v>154</v>
      </c>
      <c r="M94" s="5">
        <v>3</v>
      </c>
      <c r="N94" s="5">
        <v>1000</v>
      </c>
      <c r="O94" s="5">
        <v>0</v>
      </c>
      <c r="P94" s="5" t="s">
        <v>129</v>
      </c>
      <c r="Q94" s="5" t="s">
        <v>31</v>
      </c>
      <c r="R94" s="5">
        <v>3000</v>
      </c>
      <c r="S94" s="5">
        <v>1500</v>
      </c>
      <c r="T94" s="8">
        <v>1500</v>
      </c>
      <c r="V94" t="str">
        <f t="shared" si="1"/>
        <v>46+</v>
      </c>
    </row>
    <row r="95" spans="1:22" x14ac:dyDescent="0.3">
      <c r="A95" s="6" t="s">
        <v>314</v>
      </c>
      <c r="B95" s="12">
        <v>45698</v>
      </c>
      <c r="C95" s="7" t="s">
        <v>315</v>
      </c>
      <c r="D95" s="7" t="s">
        <v>83</v>
      </c>
      <c r="E95" s="7">
        <v>41</v>
      </c>
      <c r="F95" s="7" t="s">
        <v>35</v>
      </c>
      <c r="G95" s="7" t="s">
        <v>36</v>
      </c>
      <c r="H95" s="7" t="s">
        <v>37</v>
      </c>
      <c r="I95" s="7" t="s">
        <v>38</v>
      </c>
      <c r="J95" s="7" t="s">
        <v>265</v>
      </c>
      <c r="K95" s="7" t="s">
        <v>28</v>
      </c>
      <c r="L95" s="7" t="s">
        <v>91</v>
      </c>
      <c r="M95" s="7">
        <v>1</v>
      </c>
      <c r="N95" s="7">
        <v>15000</v>
      </c>
      <c r="O95" s="7">
        <v>12</v>
      </c>
      <c r="P95" s="7" t="s">
        <v>59</v>
      </c>
      <c r="Q95" s="7" t="s">
        <v>31</v>
      </c>
      <c r="R95" s="7">
        <v>13200</v>
      </c>
      <c r="S95" s="7">
        <v>11000</v>
      </c>
      <c r="T95" s="9">
        <v>2200</v>
      </c>
      <c r="V95" t="str">
        <f t="shared" si="1"/>
        <v>36-45</v>
      </c>
    </row>
    <row r="96" spans="1:22" x14ac:dyDescent="0.3">
      <c r="A96" s="4" t="s">
        <v>316</v>
      </c>
      <c r="B96" s="11">
        <v>45726</v>
      </c>
      <c r="C96" s="5" t="s">
        <v>309</v>
      </c>
      <c r="D96" s="5" t="s">
        <v>267</v>
      </c>
      <c r="E96" s="5">
        <v>32</v>
      </c>
      <c r="F96" s="5" t="s">
        <v>35</v>
      </c>
      <c r="G96" s="5" t="s">
        <v>151</v>
      </c>
      <c r="H96" s="5" t="s">
        <v>152</v>
      </c>
      <c r="I96" s="5" t="s">
        <v>26</v>
      </c>
      <c r="J96" s="5" t="s">
        <v>187</v>
      </c>
      <c r="K96" s="5" t="s">
        <v>73</v>
      </c>
      <c r="L96" s="5" t="s">
        <v>117</v>
      </c>
      <c r="M96" s="5">
        <v>2</v>
      </c>
      <c r="N96" s="5">
        <v>2500</v>
      </c>
      <c r="O96" s="5">
        <v>0</v>
      </c>
      <c r="P96" s="5" t="s">
        <v>129</v>
      </c>
      <c r="Q96" s="5" t="s">
        <v>31</v>
      </c>
      <c r="R96" s="5">
        <v>5000</v>
      </c>
      <c r="S96" s="5">
        <v>3200</v>
      </c>
      <c r="T96" s="8">
        <v>1800</v>
      </c>
      <c r="V96" t="str">
        <f t="shared" si="1"/>
        <v>26-35</v>
      </c>
    </row>
    <row r="97" spans="1:22" x14ac:dyDescent="0.3">
      <c r="A97" s="6" t="s">
        <v>317</v>
      </c>
      <c r="B97" s="12">
        <v>45730</v>
      </c>
      <c r="C97" s="7" t="s">
        <v>173</v>
      </c>
      <c r="D97" s="7" t="s">
        <v>150</v>
      </c>
      <c r="E97" s="7">
        <v>20</v>
      </c>
      <c r="F97" s="7" t="s">
        <v>23</v>
      </c>
      <c r="G97" s="7" t="s">
        <v>24</v>
      </c>
      <c r="H97" s="7" t="s">
        <v>25</v>
      </c>
      <c r="I97" s="7" t="s">
        <v>38</v>
      </c>
      <c r="J97" s="7" t="s">
        <v>165</v>
      </c>
      <c r="K97" s="7" t="s">
        <v>57</v>
      </c>
      <c r="L97" s="7" t="s">
        <v>58</v>
      </c>
      <c r="M97" s="7">
        <v>2</v>
      </c>
      <c r="N97" s="7">
        <v>1800</v>
      </c>
      <c r="O97" s="7">
        <v>15</v>
      </c>
      <c r="P97" s="7" t="s">
        <v>42</v>
      </c>
      <c r="Q97" s="7" t="s">
        <v>60</v>
      </c>
      <c r="R97" s="7">
        <v>3060</v>
      </c>
      <c r="S97" s="7">
        <v>2000</v>
      </c>
      <c r="T97" s="9">
        <v>1060</v>
      </c>
      <c r="V97" t="str">
        <f t="shared" si="1"/>
        <v>18-25</v>
      </c>
    </row>
    <row r="98" spans="1:22" x14ac:dyDescent="0.3">
      <c r="A98" s="4" t="s">
        <v>318</v>
      </c>
      <c r="B98" s="11">
        <v>45718</v>
      </c>
      <c r="C98" s="5" t="s">
        <v>319</v>
      </c>
      <c r="D98" s="5" t="s">
        <v>205</v>
      </c>
      <c r="E98" s="5">
        <v>27</v>
      </c>
      <c r="F98" s="5" t="s">
        <v>35</v>
      </c>
      <c r="G98" s="5" t="s">
        <v>78</v>
      </c>
      <c r="H98" s="5" t="s">
        <v>65</v>
      </c>
      <c r="I98" s="5" t="s">
        <v>26</v>
      </c>
      <c r="J98" s="5" t="s">
        <v>239</v>
      </c>
      <c r="K98" s="5" t="s">
        <v>57</v>
      </c>
      <c r="L98" s="5" t="s">
        <v>202</v>
      </c>
      <c r="M98" s="5">
        <v>1</v>
      </c>
      <c r="N98" s="5">
        <v>4000</v>
      </c>
      <c r="O98" s="5">
        <v>10</v>
      </c>
      <c r="P98" s="5" t="s">
        <v>42</v>
      </c>
      <c r="Q98" s="5" t="s">
        <v>60</v>
      </c>
      <c r="R98" s="5">
        <v>3600</v>
      </c>
      <c r="S98" s="5">
        <v>2600</v>
      </c>
      <c r="T98" s="8">
        <v>1000</v>
      </c>
      <c r="V98" t="str">
        <f t="shared" si="1"/>
        <v>26-35</v>
      </c>
    </row>
    <row r="99" spans="1:22" x14ac:dyDescent="0.3">
      <c r="A99" s="6" t="s">
        <v>320</v>
      </c>
      <c r="B99" s="12">
        <v>45717</v>
      </c>
      <c r="C99" s="7" t="s">
        <v>226</v>
      </c>
      <c r="D99" s="7" t="s">
        <v>267</v>
      </c>
      <c r="E99" s="7">
        <v>41</v>
      </c>
      <c r="F99" s="7" t="s">
        <v>35</v>
      </c>
      <c r="G99" s="7" t="s">
        <v>114</v>
      </c>
      <c r="H99" s="7" t="s">
        <v>115</v>
      </c>
      <c r="I99" s="7" t="s">
        <v>38</v>
      </c>
      <c r="J99" s="7" t="s">
        <v>239</v>
      </c>
      <c r="K99" s="7" t="s">
        <v>28</v>
      </c>
      <c r="L99" s="7" t="s">
        <v>188</v>
      </c>
      <c r="M99" s="7">
        <v>2</v>
      </c>
      <c r="N99" s="7">
        <v>8000</v>
      </c>
      <c r="O99" s="7">
        <v>0</v>
      </c>
      <c r="P99" s="7" t="s">
        <v>129</v>
      </c>
      <c r="Q99" s="7" t="s">
        <v>31</v>
      </c>
      <c r="R99" s="7">
        <v>16000</v>
      </c>
      <c r="S99" s="7">
        <v>11000</v>
      </c>
      <c r="T99" s="9">
        <v>5000</v>
      </c>
      <c r="V99" t="str">
        <f t="shared" si="1"/>
        <v>36-45</v>
      </c>
    </row>
    <row r="100" spans="1:22" x14ac:dyDescent="0.3">
      <c r="A100" s="4" t="s">
        <v>321</v>
      </c>
      <c r="B100" s="11">
        <v>45731</v>
      </c>
      <c r="C100" s="5" t="s">
        <v>322</v>
      </c>
      <c r="D100" s="5" t="s">
        <v>128</v>
      </c>
      <c r="E100" s="5">
        <v>39</v>
      </c>
      <c r="F100" s="5" t="s">
        <v>23</v>
      </c>
      <c r="G100" s="5" t="s">
        <v>54</v>
      </c>
      <c r="H100" s="5" t="s">
        <v>55</v>
      </c>
      <c r="I100" s="5" t="s">
        <v>26</v>
      </c>
      <c r="J100" s="5" t="s">
        <v>158</v>
      </c>
      <c r="K100" s="5" t="s">
        <v>73</v>
      </c>
      <c r="L100" s="5" t="s">
        <v>144</v>
      </c>
      <c r="M100" s="5">
        <v>5</v>
      </c>
      <c r="N100" s="5">
        <v>3500</v>
      </c>
      <c r="O100" s="5">
        <v>5</v>
      </c>
      <c r="P100" s="5" t="s">
        <v>42</v>
      </c>
      <c r="Q100" s="5" t="s">
        <v>31</v>
      </c>
      <c r="R100" s="5">
        <v>16625</v>
      </c>
      <c r="S100" s="5">
        <v>10000</v>
      </c>
      <c r="T100" s="8">
        <v>6625</v>
      </c>
      <c r="V100" t="str">
        <f t="shared" si="1"/>
        <v>36-45</v>
      </c>
    </row>
    <row r="101" spans="1:22" x14ac:dyDescent="0.3">
      <c r="A101" s="6" t="s">
        <v>323</v>
      </c>
      <c r="B101" s="12">
        <v>45710</v>
      </c>
      <c r="C101" s="7" t="s">
        <v>324</v>
      </c>
      <c r="D101" s="7" t="s">
        <v>99</v>
      </c>
      <c r="E101" s="7">
        <v>27</v>
      </c>
      <c r="F101" s="7" t="s">
        <v>23</v>
      </c>
      <c r="G101" s="7" t="s">
        <v>46</v>
      </c>
      <c r="H101" s="7" t="s">
        <v>47</v>
      </c>
      <c r="I101" s="7" t="s">
        <v>38</v>
      </c>
      <c r="J101" s="7" t="s">
        <v>281</v>
      </c>
      <c r="K101" s="7" t="s">
        <v>40</v>
      </c>
      <c r="L101" s="7" t="s">
        <v>41</v>
      </c>
      <c r="M101" s="7">
        <v>2</v>
      </c>
      <c r="N101" s="7">
        <v>3500</v>
      </c>
      <c r="O101" s="7">
        <v>0</v>
      </c>
      <c r="P101" s="7" t="s">
        <v>59</v>
      </c>
      <c r="Q101" s="7" t="s">
        <v>31</v>
      </c>
      <c r="R101" s="7">
        <v>7000</v>
      </c>
      <c r="S101" s="7">
        <v>4400</v>
      </c>
      <c r="T101" s="9">
        <v>2600</v>
      </c>
      <c r="V101" t="str">
        <f t="shared" si="1"/>
        <v>26-35</v>
      </c>
    </row>
    <row r="102" spans="1:22" x14ac:dyDescent="0.3">
      <c r="A102" s="4" t="s">
        <v>325</v>
      </c>
      <c r="B102" s="11">
        <v>45726</v>
      </c>
      <c r="C102" s="5" t="s">
        <v>326</v>
      </c>
      <c r="D102" s="5" t="s">
        <v>150</v>
      </c>
      <c r="E102" s="5">
        <v>34</v>
      </c>
      <c r="F102" s="5" t="s">
        <v>23</v>
      </c>
      <c r="G102" s="5" t="s">
        <v>24</v>
      </c>
      <c r="H102" s="5" t="s">
        <v>25</v>
      </c>
      <c r="I102" s="5" t="s">
        <v>26</v>
      </c>
      <c r="J102" s="5" t="s">
        <v>158</v>
      </c>
      <c r="K102" s="5" t="s">
        <v>57</v>
      </c>
      <c r="L102" s="5" t="s">
        <v>58</v>
      </c>
      <c r="M102" s="5">
        <v>4</v>
      </c>
      <c r="N102" s="5">
        <v>1800</v>
      </c>
      <c r="O102" s="5">
        <v>12</v>
      </c>
      <c r="P102" s="5" t="s">
        <v>59</v>
      </c>
      <c r="Q102" s="5" t="s">
        <v>86</v>
      </c>
      <c r="R102" s="5">
        <v>6336</v>
      </c>
      <c r="S102" s="5">
        <v>4000</v>
      </c>
      <c r="T102" s="8">
        <v>2336</v>
      </c>
      <c r="V102" t="str">
        <f t="shared" si="1"/>
        <v>26-35</v>
      </c>
    </row>
    <row r="103" spans="1:22" x14ac:dyDescent="0.3">
      <c r="A103" s="6" t="s">
        <v>327</v>
      </c>
      <c r="B103" s="12">
        <v>45726</v>
      </c>
      <c r="C103" s="7" t="s">
        <v>328</v>
      </c>
      <c r="D103" s="7" t="s">
        <v>83</v>
      </c>
      <c r="E103" s="7">
        <v>32</v>
      </c>
      <c r="F103" s="7" t="s">
        <v>35</v>
      </c>
      <c r="G103" s="7" t="s">
        <v>183</v>
      </c>
      <c r="H103" s="7" t="s">
        <v>184</v>
      </c>
      <c r="I103" s="7" t="s">
        <v>26</v>
      </c>
      <c r="J103" s="7" t="s">
        <v>256</v>
      </c>
      <c r="K103" s="7" t="s">
        <v>73</v>
      </c>
      <c r="L103" s="7" t="s">
        <v>117</v>
      </c>
      <c r="M103" s="7">
        <v>1</v>
      </c>
      <c r="N103" s="7">
        <v>2500</v>
      </c>
      <c r="O103" s="7">
        <v>0</v>
      </c>
      <c r="P103" s="7" t="s">
        <v>129</v>
      </c>
      <c r="Q103" s="7" t="s">
        <v>60</v>
      </c>
      <c r="R103" s="7">
        <v>2500</v>
      </c>
      <c r="S103" s="7">
        <v>1600</v>
      </c>
      <c r="T103" s="9">
        <v>900</v>
      </c>
      <c r="V103" t="str">
        <f t="shared" si="1"/>
        <v>26-35</v>
      </c>
    </row>
    <row r="104" spans="1:22" x14ac:dyDescent="0.3">
      <c r="A104" s="4" t="s">
        <v>329</v>
      </c>
      <c r="B104" s="11">
        <v>45716</v>
      </c>
      <c r="C104" s="5" t="s">
        <v>123</v>
      </c>
      <c r="D104" s="5" t="s">
        <v>283</v>
      </c>
      <c r="E104" s="5">
        <v>46</v>
      </c>
      <c r="F104" s="5" t="s">
        <v>23</v>
      </c>
      <c r="G104" s="5" t="s">
        <v>36</v>
      </c>
      <c r="H104" s="5" t="s">
        <v>37</v>
      </c>
      <c r="I104" s="5" t="s">
        <v>26</v>
      </c>
      <c r="J104" s="5" t="s">
        <v>158</v>
      </c>
      <c r="K104" s="5" t="s">
        <v>49</v>
      </c>
      <c r="L104" s="5" t="s">
        <v>85</v>
      </c>
      <c r="M104" s="5">
        <v>2</v>
      </c>
      <c r="N104" s="5">
        <v>5000</v>
      </c>
      <c r="O104" s="5">
        <v>10</v>
      </c>
      <c r="P104" s="5" t="s">
        <v>59</v>
      </c>
      <c r="Q104" s="5" t="s">
        <v>60</v>
      </c>
      <c r="R104" s="5">
        <v>9000</v>
      </c>
      <c r="S104" s="5">
        <v>6400</v>
      </c>
      <c r="T104" s="8">
        <v>2600</v>
      </c>
      <c r="V104" t="str">
        <f t="shared" si="1"/>
        <v>46+</v>
      </c>
    </row>
    <row r="105" spans="1:22" x14ac:dyDescent="0.3">
      <c r="A105" s="6" t="s">
        <v>330</v>
      </c>
      <c r="B105" s="12">
        <v>45727</v>
      </c>
      <c r="C105" s="7" t="s">
        <v>193</v>
      </c>
      <c r="D105" s="7" t="s">
        <v>157</v>
      </c>
      <c r="E105" s="7">
        <v>50</v>
      </c>
      <c r="F105" s="7" t="s">
        <v>35</v>
      </c>
      <c r="G105" s="7" t="s">
        <v>183</v>
      </c>
      <c r="H105" s="7" t="s">
        <v>184</v>
      </c>
      <c r="I105" s="7" t="s">
        <v>38</v>
      </c>
      <c r="J105" s="7" t="s">
        <v>201</v>
      </c>
      <c r="K105" s="7" t="s">
        <v>28</v>
      </c>
      <c r="L105" s="7" t="s">
        <v>29</v>
      </c>
      <c r="M105" s="7">
        <v>2</v>
      </c>
      <c r="N105" s="7">
        <v>55000</v>
      </c>
      <c r="O105" s="7">
        <v>12</v>
      </c>
      <c r="P105" s="7" t="s">
        <v>129</v>
      </c>
      <c r="Q105" s="7" t="s">
        <v>31</v>
      </c>
      <c r="R105" s="7">
        <v>96800</v>
      </c>
      <c r="S105" s="7">
        <v>84000</v>
      </c>
      <c r="T105" s="9">
        <v>12800</v>
      </c>
      <c r="V105" t="str">
        <f t="shared" si="1"/>
        <v>46+</v>
      </c>
    </row>
    <row r="106" spans="1:22" x14ac:dyDescent="0.3">
      <c r="A106" s="4" t="s">
        <v>331</v>
      </c>
      <c r="B106" s="11">
        <v>45715</v>
      </c>
      <c r="C106" s="5" t="s">
        <v>332</v>
      </c>
      <c r="D106" s="5" t="s">
        <v>223</v>
      </c>
      <c r="E106" s="5">
        <v>44</v>
      </c>
      <c r="F106" s="5" t="s">
        <v>35</v>
      </c>
      <c r="G106" s="5" t="s">
        <v>104</v>
      </c>
      <c r="H106" s="5" t="s">
        <v>105</v>
      </c>
      <c r="I106" s="5" t="s">
        <v>26</v>
      </c>
      <c r="J106" s="5" t="s">
        <v>178</v>
      </c>
      <c r="K106" s="5" t="s">
        <v>49</v>
      </c>
      <c r="L106" s="5" t="s">
        <v>154</v>
      </c>
      <c r="M106" s="5">
        <v>3</v>
      </c>
      <c r="N106" s="5">
        <v>1000</v>
      </c>
      <c r="O106" s="5">
        <v>10</v>
      </c>
      <c r="P106" s="5" t="s">
        <v>42</v>
      </c>
      <c r="Q106" s="5" t="s">
        <v>60</v>
      </c>
      <c r="R106" s="5">
        <v>2700</v>
      </c>
      <c r="S106" s="5">
        <v>1500</v>
      </c>
      <c r="T106" s="8">
        <v>1200</v>
      </c>
      <c r="V106" t="str">
        <f t="shared" si="1"/>
        <v>36-45</v>
      </c>
    </row>
    <row r="107" spans="1:22" x14ac:dyDescent="0.3">
      <c r="A107" s="6" t="s">
        <v>333</v>
      </c>
      <c r="B107" s="12">
        <v>45693</v>
      </c>
      <c r="C107" s="7" t="s">
        <v>303</v>
      </c>
      <c r="D107" s="7" t="s">
        <v>136</v>
      </c>
      <c r="E107" s="7">
        <v>45</v>
      </c>
      <c r="F107" s="7" t="s">
        <v>23</v>
      </c>
      <c r="G107" s="7" t="s">
        <v>36</v>
      </c>
      <c r="H107" s="7" t="s">
        <v>37</v>
      </c>
      <c r="I107" s="7" t="s">
        <v>38</v>
      </c>
      <c r="J107" s="7" t="s">
        <v>100</v>
      </c>
      <c r="K107" s="7" t="s">
        <v>40</v>
      </c>
      <c r="L107" s="7" t="s">
        <v>41</v>
      </c>
      <c r="M107" s="7">
        <v>5</v>
      </c>
      <c r="N107" s="7">
        <v>3500</v>
      </c>
      <c r="O107" s="7">
        <v>15</v>
      </c>
      <c r="P107" s="7" t="s">
        <v>59</v>
      </c>
      <c r="Q107" s="7" t="s">
        <v>31</v>
      </c>
      <c r="R107" s="7">
        <v>14875</v>
      </c>
      <c r="S107" s="7">
        <v>11000</v>
      </c>
      <c r="T107" s="9">
        <v>3875</v>
      </c>
      <c r="V107" t="str">
        <f t="shared" si="1"/>
        <v>36-45</v>
      </c>
    </row>
    <row r="108" spans="1:22" x14ac:dyDescent="0.3">
      <c r="A108" s="4" t="s">
        <v>334</v>
      </c>
      <c r="B108" s="11">
        <v>45715</v>
      </c>
      <c r="C108" s="5" t="s">
        <v>305</v>
      </c>
      <c r="D108" s="5" t="s">
        <v>299</v>
      </c>
      <c r="E108" s="5">
        <v>36</v>
      </c>
      <c r="F108" s="5" t="s">
        <v>35</v>
      </c>
      <c r="G108" s="5" t="s">
        <v>183</v>
      </c>
      <c r="H108" s="5" t="s">
        <v>184</v>
      </c>
      <c r="I108" s="5" t="s">
        <v>38</v>
      </c>
      <c r="J108" s="5" t="s">
        <v>116</v>
      </c>
      <c r="K108" s="5" t="s">
        <v>49</v>
      </c>
      <c r="L108" s="5" t="s">
        <v>50</v>
      </c>
      <c r="M108" s="5">
        <v>5</v>
      </c>
      <c r="N108" s="5">
        <v>30000</v>
      </c>
      <c r="O108" s="5">
        <v>5</v>
      </c>
      <c r="P108" s="5" t="s">
        <v>42</v>
      </c>
      <c r="Q108" s="5" t="s">
        <v>60</v>
      </c>
      <c r="R108" s="5">
        <v>142500</v>
      </c>
      <c r="S108" s="5">
        <v>110000</v>
      </c>
      <c r="T108" s="8">
        <v>32500</v>
      </c>
      <c r="V108" t="str">
        <f t="shared" si="1"/>
        <v>36-45</v>
      </c>
    </row>
    <row r="109" spans="1:22" x14ac:dyDescent="0.3">
      <c r="A109" s="6" t="s">
        <v>335</v>
      </c>
      <c r="B109" s="12">
        <v>45703</v>
      </c>
      <c r="C109" s="7" t="s">
        <v>328</v>
      </c>
      <c r="D109" s="7" t="s">
        <v>83</v>
      </c>
      <c r="E109" s="7">
        <v>41</v>
      </c>
      <c r="F109" s="7" t="s">
        <v>35</v>
      </c>
      <c r="G109" s="7" t="s">
        <v>36</v>
      </c>
      <c r="H109" s="7" t="s">
        <v>37</v>
      </c>
      <c r="I109" s="7" t="s">
        <v>38</v>
      </c>
      <c r="J109" s="7" t="s">
        <v>262</v>
      </c>
      <c r="K109" s="7" t="s">
        <v>73</v>
      </c>
      <c r="L109" s="7" t="s">
        <v>144</v>
      </c>
      <c r="M109" s="7">
        <v>5</v>
      </c>
      <c r="N109" s="7">
        <v>3500</v>
      </c>
      <c r="O109" s="7">
        <v>15</v>
      </c>
      <c r="P109" s="7" t="s">
        <v>30</v>
      </c>
      <c r="Q109" s="7" t="s">
        <v>86</v>
      </c>
      <c r="R109" s="7">
        <v>14875</v>
      </c>
      <c r="S109" s="7">
        <v>10000</v>
      </c>
      <c r="T109" s="9">
        <v>4875</v>
      </c>
      <c r="V109" t="str">
        <f t="shared" si="1"/>
        <v>36-45</v>
      </c>
    </row>
    <row r="110" spans="1:22" x14ac:dyDescent="0.3">
      <c r="A110" s="4" t="s">
        <v>336</v>
      </c>
      <c r="B110" s="11">
        <v>45731</v>
      </c>
      <c r="C110" s="5" t="s">
        <v>261</v>
      </c>
      <c r="D110" s="5" t="s">
        <v>299</v>
      </c>
      <c r="E110" s="5">
        <v>29</v>
      </c>
      <c r="F110" s="5" t="s">
        <v>35</v>
      </c>
      <c r="G110" s="5" t="s">
        <v>64</v>
      </c>
      <c r="H110" s="5" t="s">
        <v>65</v>
      </c>
      <c r="I110" s="5" t="s">
        <v>38</v>
      </c>
      <c r="J110" s="5" t="s">
        <v>174</v>
      </c>
      <c r="K110" s="5" t="s">
        <v>49</v>
      </c>
      <c r="L110" s="5" t="s">
        <v>191</v>
      </c>
      <c r="M110" s="5">
        <v>2</v>
      </c>
      <c r="N110" s="5">
        <v>2000</v>
      </c>
      <c r="O110" s="5">
        <v>5</v>
      </c>
      <c r="P110" s="5" t="s">
        <v>129</v>
      </c>
      <c r="Q110" s="5" t="s">
        <v>31</v>
      </c>
      <c r="R110" s="5">
        <v>3800</v>
      </c>
      <c r="S110" s="5">
        <v>2400</v>
      </c>
      <c r="T110" s="8">
        <v>1400</v>
      </c>
      <c r="V110" t="str">
        <f t="shared" si="1"/>
        <v>26-35</v>
      </c>
    </row>
    <row r="111" spans="1:22" x14ac:dyDescent="0.3">
      <c r="A111" s="6" t="s">
        <v>337</v>
      </c>
      <c r="B111" s="12">
        <v>45698</v>
      </c>
      <c r="C111" s="7" t="s">
        <v>338</v>
      </c>
      <c r="D111" s="7" t="s">
        <v>136</v>
      </c>
      <c r="E111" s="7">
        <v>51</v>
      </c>
      <c r="F111" s="7" t="s">
        <v>23</v>
      </c>
      <c r="G111" s="7" t="s">
        <v>54</v>
      </c>
      <c r="H111" s="7" t="s">
        <v>55</v>
      </c>
      <c r="I111" s="7" t="s">
        <v>38</v>
      </c>
      <c r="J111" s="7" t="s">
        <v>339</v>
      </c>
      <c r="K111" s="7" t="s">
        <v>57</v>
      </c>
      <c r="L111" s="7" t="s">
        <v>202</v>
      </c>
      <c r="M111" s="7">
        <v>2</v>
      </c>
      <c r="N111" s="7">
        <v>4000</v>
      </c>
      <c r="O111" s="7">
        <v>10</v>
      </c>
      <c r="P111" s="7" t="s">
        <v>59</v>
      </c>
      <c r="Q111" s="7" t="s">
        <v>31</v>
      </c>
      <c r="R111" s="7">
        <v>7200</v>
      </c>
      <c r="S111" s="7">
        <v>5200</v>
      </c>
      <c r="T111" s="9">
        <v>2000</v>
      </c>
      <c r="V111" t="str">
        <f t="shared" si="1"/>
        <v>46+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79A3F-D349-48FE-BA74-5368230480D3}">
  <dimension ref="A3:B9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1.21875" bestFit="1" customWidth="1"/>
  </cols>
  <sheetData>
    <row r="3" spans="1:2" x14ac:dyDescent="0.3">
      <c r="A3" s="13" t="s">
        <v>345</v>
      </c>
      <c r="B3" t="s">
        <v>351</v>
      </c>
    </row>
    <row r="4" spans="1:2" x14ac:dyDescent="0.3">
      <c r="A4" s="14" t="s">
        <v>73</v>
      </c>
      <c r="B4" s="43">
        <v>147845</v>
      </c>
    </row>
    <row r="5" spans="1:2" x14ac:dyDescent="0.3">
      <c r="A5" s="14" t="s">
        <v>57</v>
      </c>
      <c r="B5" s="43">
        <v>198834</v>
      </c>
    </row>
    <row r="6" spans="1:2" x14ac:dyDescent="0.3">
      <c r="A6" s="14" t="s">
        <v>28</v>
      </c>
      <c r="B6" s="43">
        <v>1356150</v>
      </c>
    </row>
    <row r="7" spans="1:2" x14ac:dyDescent="0.3">
      <c r="A7" s="14" t="s">
        <v>40</v>
      </c>
      <c r="B7" s="43">
        <v>263430</v>
      </c>
    </row>
    <row r="8" spans="1:2" x14ac:dyDescent="0.3">
      <c r="A8" s="14" t="s">
        <v>49</v>
      </c>
      <c r="B8" s="43">
        <v>720300</v>
      </c>
    </row>
    <row r="9" spans="1:2" x14ac:dyDescent="0.3">
      <c r="A9" s="14" t="s">
        <v>346</v>
      </c>
      <c r="B9" s="43">
        <v>2686559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F255-3BB6-4F5D-B29F-F685A7E289B4}">
  <dimension ref="A3:G17"/>
  <sheetViews>
    <sheetView zoomScale="110" workbookViewId="0">
      <selection activeCell="B9" sqref="B9"/>
    </sheetView>
  </sheetViews>
  <sheetFormatPr defaultRowHeight="14.4" x14ac:dyDescent="0.3"/>
  <cols>
    <col min="1" max="1" width="14" bestFit="1" customWidth="1"/>
    <col min="2" max="2" width="11.5546875" bestFit="1" customWidth="1"/>
  </cols>
  <sheetData>
    <row r="3" spans="1:7" x14ac:dyDescent="0.3">
      <c r="A3" s="13" t="s">
        <v>345</v>
      </c>
      <c r="B3" t="s">
        <v>351</v>
      </c>
      <c r="F3" s="14" t="s">
        <v>114</v>
      </c>
      <c r="G3">
        <v>15170</v>
      </c>
    </row>
    <row r="4" spans="1:7" x14ac:dyDescent="0.3">
      <c r="A4" s="14" t="s">
        <v>114</v>
      </c>
      <c r="B4" s="43">
        <v>15170</v>
      </c>
      <c r="F4" s="14" t="s">
        <v>54</v>
      </c>
      <c r="G4">
        <v>86086</v>
      </c>
    </row>
    <row r="5" spans="1:7" x14ac:dyDescent="0.3">
      <c r="A5" s="14" t="s">
        <v>54</v>
      </c>
      <c r="B5" s="43">
        <v>86086</v>
      </c>
      <c r="F5" s="14" t="s">
        <v>46</v>
      </c>
      <c r="G5">
        <v>68210</v>
      </c>
    </row>
    <row r="6" spans="1:7" x14ac:dyDescent="0.3">
      <c r="A6" s="14" t="s">
        <v>46</v>
      </c>
      <c r="B6" s="43">
        <v>68210</v>
      </c>
      <c r="F6" s="14" t="s">
        <v>71</v>
      </c>
      <c r="G6">
        <v>25900</v>
      </c>
    </row>
    <row r="7" spans="1:7" x14ac:dyDescent="0.3">
      <c r="A7" s="14" t="s">
        <v>71</v>
      </c>
      <c r="B7" s="43">
        <v>25900</v>
      </c>
      <c r="F7" s="14" t="s">
        <v>24</v>
      </c>
      <c r="G7">
        <v>21996</v>
      </c>
    </row>
    <row r="8" spans="1:7" x14ac:dyDescent="0.3">
      <c r="A8" s="14" t="s">
        <v>24</v>
      </c>
      <c r="B8" s="43">
        <v>21996</v>
      </c>
      <c r="F8" s="14" t="s">
        <v>183</v>
      </c>
      <c r="G8">
        <v>84680</v>
      </c>
    </row>
    <row r="9" spans="1:7" x14ac:dyDescent="0.3">
      <c r="A9" s="14" t="s">
        <v>183</v>
      </c>
      <c r="B9" s="43">
        <v>84680</v>
      </c>
      <c r="F9" s="14" t="s">
        <v>104</v>
      </c>
      <c r="G9">
        <v>44092</v>
      </c>
    </row>
    <row r="10" spans="1:7" x14ac:dyDescent="0.3">
      <c r="A10" s="14" t="s">
        <v>104</v>
      </c>
      <c r="B10" s="43">
        <v>44092</v>
      </c>
      <c r="F10" s="14" t="s">
        <v>151</v>
      </c>
      <c r="G10">
        <v>39150</v>
      </c>
    </row>
    <row r="11" spans="1:7" x14ac:dyDescent="0.3">
      <c r="A11" s="14" t="s">
        <v>151</v>
      </c>
      <c r="B11" s="43">
        <v>39150</v>
      </c>
      <c r="F11" s="14" t="s">
        <v>141</v>
      </c>
      <c r="G11">
        <v>47780</v>
      </c>
    </row>
    <row r="12" spans="1:7" x14ac:dyDescent="0.3">
      <c r="A12" s="14" t="s">
        <v>141</v>
      </c>
      <c r="B12" s="43">
        <v>47780</v>
      </c>
      <c r="F12" s="14" t="s">
        <v>64</v>
      </c>
      <c r="G12">
        <v>24510</v>
      </c>
    </row>
    <row r="13" spans="1:7" x14ac:dyDescent="0.3">
      <c r="A13" s="14" t="s">
        <v>64</v>
      </c>
      <c r="B13" s="43">
        <v>24510</v>
      </c>
      <c r="F13" s="14" t="s">
        <v>78</v>
      </c>
      <c r="G13">
        <v>49580</v>
      </c>
    </row>
    <row r="14" spans="1:7" x14ac:dyDescent="0.3">
      <c r="A14" s="14" t="s">
        <v>78</v>
      </c>
      <c r="B14" s="43">
        <v>49580</v>
      </c>
      <c r="F14" s="14" t="s">
        <v>36</v>
      </c>
      <c r="G14">
        <v>54705</v>
      </c>
    </row>
    <row r="15" spans="1:7" x14ac:dyDescent="0.3">
      <c r="A15" s="14" t="s">
        <v>36</v>
      </c>
      <c r="B15" s="43">
        <v>54705</v>
      </c>
      <c r="F15" s="14" t="s">
        <v>137</v>
      </c>
      <c r="G15">
        <v>87600</v>
      </c>
    </row>
    <row r="16" spans="1:7" x14ac:dyDescent="0.3">
      <c r="A16" s="14" t="s">
        <v>137</v>
      </c>
      <c r="B16" s="43">
        <v>87600</v>
      </c>
    </row>
    <row r="17" spans="1:2" x14ac:dyDescent="0.3">
      <c r="A17" s="14" t="s">
        <v>346</v>
      </c>
      <c r="B17" s="43">
        <v>649459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60160-4D65-4EF0-AA04-A1DA38A13C6A}">
  <dimension ref="A3:B7"/>
  <sheetViews>
    <sheetView topLeftCell="A2"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9.77734375" bestFit="1" customWidth="1"/>
    <col min="3" max="4" width="8" bestFit="1" customWidth="1"/>
    <col min="5" max="5" width="10.77734375" bestFit="1" customWidth="1"/>
    <col min="6" max="53" width="10.33203125" bestFit="1" customWidth="1"/>
    <col min="54" max="54" width="10.77734375" bestFit="1" customWidth="1"/>
  </cols>
  <sheetData>
    <row r="3" spans="1:2" x14ac:dyDescent="0.3">
      <c r="A3" s="13" t="s">
        <v>345</v>
      </c>
      <c r="B3" t="s">
        <v>347</v>
      </c>
    </row>
    <row r="4" spans="1:2" x14ac:dyDescent="0.3">
      <c r="A4" s="14" t="s">
        <v>348</v>
      </c>
      <c r="B4" s="43">
        <v>209105</v>
      </c>
    </row>
    <row r="5" spans="1:2" x14ac:dyDescent="0.3">
      <c r="A5" s="14" t="s">
        <v>349</v>
      </c>
      <c r="B5" s="43">
        <v>1266948</v>
      </c>
    </row>
    <row r="6" spans="1:2" x14ac:dyDescent="0.3">
      <c r="A6" s="14" t="s">
        <v>350</v>
      </c>
      <c r="B6" s="43">
        <v>1210506</v>
      </c>
    </row>
    <row r="7" spans="1:2" x14ac:dyDescent="0.3">
      <c r="A7" s="14" t="s">
        <v>346</v>
      </c>
      <c r="B7" s="43">
        <v>2686559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C7CE-56A8-4CC8-80CE-FC6A1CA87702}">
  <dimension ref="A3:B6"/>
  <sheetViews>
    <sheetView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1.21875" bestFit="1" customWidth="1"/>
  </cols>
  <sheetData>
    <row r="3" spans="1:2" x14ac:dyDescent="0.3">
      <c r="A3" s="13" t="s">
        <v>345</v>
      </c>
      <c r="B3" t="s">
        <v>351</v>
      </c>
    </row>
    <row r="4" spans="1:2" x14ac:dyDescent="0.3">
      <c r="A4" s="14" t="s">
        <v>26</v>
      </c>
      <c r="B4" s="43">
        <v>1215506</v>
      </c>
    </row>
    <row r="5" spans="1:2" x14ac:dyDescent="0.3">
      <c r="A5" s="14" t="s">
        <v>38</v>
      </c>
      <c r="B5" s="43">
        <v>1471053</v>
      </c>
    </row>
    <row r="6" spans="1:2" x14ac:dyDescent="0.3">
      <c r="A6" s="14" t="s">
        <v>346</v>
      </c>
      <c r="B6" s="43">
        <v>2686559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EC6B-6CF4-4632-97B3-69EA2480FFAA}">
  <dimension ref="A1:B6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340</v>
      </c>
    </row>
    <row r="3" spans="1:2" x14ac:dyDescent="0.3">
      <c r="A3" t="s">
        <v>341</v>
      </c>
      <c r="B3">
        <f>SUM(Cleaned_Data!R:R)</f>
        <v>2686559</v>
      </c>
    </row>
    <row r="4" spans="1:2" x14ac:dyDescent="0.3">
      <c r="A4" t="s">
        <v>342</v>
      </c>
      <c r="B4">
        <f>SUM(Cleaned_Data!T:T)</f>
        <v>649459</v>
      </c>
    </row>
    <row r="5" spans="1:2" x14ac:dyDescent="0.3">
      <c r="A5" t="s">
        <v>343</v>
      </c>
      <c r="B5">
        <f>COUNTA(Cleaned_Data!A:A)-1</f>
        <v>110</v>
      </c>
    </row>
    <row r="6" spans="1:2" x14ac:dyDescent="0.3">
      <c r="A6" t="s">
        <v>344</v>
      </c>
      <c r="B6">
        <f>AVERAGE(Cleaned_Data!R:R)</f>
        <v>24423.263636363637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Raw_Data</vt:lpstr>
      <vt:lpstr>Sales</vt:lpstr>
      <vt:lpstr>State</vt:lpstr>
      <vt:lpstr>Cleaned_Data</vt:lpstr>
      <vt:lpstr>Pivot_Category</vt:lpstr>
      <vt:lpstr>Pivot_City</vt:lpstr>
      <vt:lpstr>Pivot_Date</vt:lpstr>
      <vt:lpstr>Pivot_Customer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 Reddy Palakonda</dc:creator>
  <cp:lastModifiedBy>Koti Reddy Palakonda</cp:lastModifiedBy>
  <dcterms:created xsi:type="dcterms:W3CDTF">2026-06-17T13:36:14Z</dcterms:created>
  <dcterms:modified xsi:type="dcterms:W3CDTF">2026-06-18T03:44:19Z</dcterms:modified>
</cp:coreProperties>
</file>